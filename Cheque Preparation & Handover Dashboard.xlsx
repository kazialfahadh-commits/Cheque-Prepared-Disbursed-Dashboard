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had\Desktop\Cheque Preparation &amp; Handover Dashboard\"/>
    </mc:Choice>
  </mc:AlternateContent>
  <xr:revisionPtr revIDLastSave="0" documentId="13_ncr:1_{8C41EC41-6B2E-49B0-BC69-67BBD6D6F0D9}" xr6:coauthVersionLast="47" xr6:coauthVersionMax="47" xr10:uidLastSave="{00000000-0000-0000-0000-000000000000}"/>
  <bookViews>
    <workbookView xWindow="-110" yWindow="-110" windowWidth="19420" windowHeight="10420" tabRatio="602" xr2:uid="{00000000-000D-0000-FFFF-FFFF00000000}"/>
  </bookViews>
  <sheets>
    <sheet name="Cheque Ready" sheetId="32" r:id="rId1"/>
    <sheet name="Cheque Paid" sheetId="33" r:id="rId2"/>
  </sheets>
  <definedNames>
    <definedName name="_xlnm._FilterDatabase" localSheetId="1" hidden="1">'Cheque Paid'!$A$1:$AK$1</definedName>
    <definedName name="_xlnm._FilterDatabase" localSheetId="0" hidden="1">'Cheque Ready'!$A$1:$AK$70</definedName>
    <definedName name="_xlnm.Print_Area" localSheetId="0">'Cheque Ready'!$B$1:$H$11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32" l="1"/>
  <c r="AG5" i="32"/>
  <c r="AG6" i="32"/>
  <c r="AG7" i="32"/>
  <c r="AG8" i="32"/>
  <c r="AG9" i="32"/>
  <c r="AG10" i="32"/>
  <c r="AG11" i="32"/>
  <c r="AG12" i="32"/>
  <c r="AG13" i="32"/>
  <c r="AG14" i="32"/>
  <c r="AG15" i="32"/>
  <c r="AG16" i="32"/>
  <c r="AG17" i="32"/>
  <c r="AG18" i="32"/>
  <c r="AG19" i="32"/>
  <c r="AG20" i="32"/>
  <c r="AG21" i="32"/>
  <c r="AG22" i="32"/>
  <c r="AG23" i="32"/>
  <c r="AG24" i="32"/>
  <c r="AG25" i="32"/>
  <c r="AG26" i="32"/>
  <c r="AG27" i="32"/>
  <c r="AG28" i="32"/>
  <c r="AG29" i="32"/>
  <c r="AG30" i="32"/>
  <c r="AG31" i="32"/>
  <c r="AG32" i="32"/>
  <c r="AG33" i="32"/>
  <c r="AG34" i="32"/>
  <c r="AG35" i="32"/>
  <c r="AG36" i="32"/>
  <c r="AG37" i="32"/>
  <c r="AG38" i="32"/>
  <c r="AG39" i="32"/>
  <c r="AG40" i="32"/>
  <c r="AG41" i="32"/>
  <c r="AG42" i="32"/>
  <c r="AG43" i="32"/>
  <c r="AG44" i="32"/>
  <c r="AG45" i="32"/>
  <c r="AG46" i="32"/>
  <c r="AG47" i="32"/>
  <c r="AG48" i="32"/>
  <c r="AG49" i="32"/>
  <c r="AG50" i="32"/>
  <c r="AG51" i="32"/>
  <c r="AG52" i="32"/>
  <c r="AG53" i="32"/>
  <c r="AG54" i="32"/>
  <c r="AG55" i="32"/>
  <c r="AG56" i="32"/>
  <c r="AG57" i="32"/>
  <c r="AG58" i="32"/>
  <c r="AG59" i="32"/>
  <c r="AG60" i="32"/>
  <c r="AG61" i="32"/>
  <c r="AG62" i="32"/>
  <c r="AG63" i="32"/>
  <c r="AG64" i="32"/>
  <c r="AG65" i="32"/>
  <c r="AG66" i="32"/>
  <c r="AG67" i="32"/>
  <c r="AG68" i="32"/>
  <c r="AG69" i="32"/>
  <c r="AG70" i="32"/>
  <c r="AG3" i="32"/>
  <c r="AG2" i="32"/>
  <c r="AE460" i="33"/>
  <c r="AA460" i="33"/>
  <c r="AE445" i="33" l="1"/>
  <c r="AE351" i="33" l="1"/>
  <c r="AF276" i="33" l="1"/>
  <c r="AF274" i="33" l="1"/>
  <c r="AE269" i="33" l="1"/>
  <c r="AE268" i="33" l="1"/>
  <c r="AF260" i="33" l="1"/>
  <c r="AF212" i="33" l="1"/>
  <c r="AF211" i="33"/>
  <c r="AF206" i="33"/>
  <c r="AF202" i="33" l="1"/>
  <c r="AE114" i="33" l="1"/>
</calcChain>
</file>

<file path=xl/sharedStrings.xml><?xml version="1.0" encoding="utf-8"?>
<sst xmlns="http://schemas.openxmlformats.org/spreadsheetml/2006/main" count="6767" uniqueCount="1996">
  <si>
    <t>Amount</t>
  </si>
  <si>
    <t>Sl No.</t>
  </si>
  <si>
    <t>Total 
Amount</t>
  </si>
  <si>
    <t>Payment
 Mode</t>
  </si>
  <si>
    <t>Cheque No</t>
  </si>
  <si>
    <t>Date</t>
  </si>
  <si>
    <t xml:space="preserve">Name </t>
  </si>
  <si>
    <t>F.S Amount</t>
  </si>
  <si>
    <t xml:space="preserve">
 ID No.</t>
  </si>
  <si>
    <t>MD. ARIFUL ISLAM</t>
  </si>
  <si>
    <t>SHARIFUL ISLAM</t>
  </si>
  <si>
    <t>MD. MOHIUDDIN</t>
  </si>
  <si>
    <t>Doc.Number</t>
  </si>
  <si>
    <t>MD. FAZLUL HAQUE</t>
  </si>
  <si>
    <t>MD. MEHEDI HASAN</t>
  </si>
  <si>
    <t>Warehouse</t>
  </si>
  <si>
    <t>Sales Agrovet</t>
  </si>
  <si>
    <t>Distribution</t>
  </si>
  <si>
    <t>MD. JAHID HASAN</t>
  </si>
  <si>
    <t>Int. Marketing</t>
  </si>
  <si>
    <t>MD. ANAMUL HAQUE</t>
  </si>
  <si>
    <t>Eng &amp; Utilities</t>
  </si>
  <si>
    <t>Sales Ophtha</t>
  </si>
  <si>
    <t>Sales Pharma</t>
  </si>
  <si>
    <t>Sales Cardia</t>
  </si>
  <si>
    <t>Sales Infusion</t>
  </si>
  <si>
    <t>Production</t>
  </si>
  <si>
    <t>Administration</t>
  </si>
  <si>
    <t>Quality Control</t>
  </si>
  <si>
    <t>Supply Chain</t>
  </si>
  <si>
    <t>PMD</t>
  </si>
  <si>
    <t>Plant Gen &amp; Adm</t>
  </si>
  <si>
    <t>MD. MINHAZUR RAHMAN</t>
  </si>
  <si>
    <t>Quality Assuran</t>
  </si>
  <si>
    <t>MD. AL AMIN</t>
  </si>
  <si>
    <t>RAFIQUL ISLAM</t>
  </si>
  <si>
    <t>BD</t>
  </si>
  <si>
    <t>MD. MASUD RANA</t>
  </si>
  <si>
    <t>MD. SHAFIQUL ISLAM</t>
  </si>
  <si>
    <t>MD. MOKSEDUR RAHMAN</t>
  </si>
  <si>
    <t>Central Distrib</t>
  </si>
  <si>
    <t>MD. MIZANUR RAHMAN</t>
  </si>
  <si>
    <t>MD. NAZMUL HASAN</t>
  </si>
  <si>
    <t>MD. RASHEDUL ISLAM</t>
  </si>
  <si>
    <t>MD. RABIUL ISLAM</t>
  </si>
  <si>
    <t>AL MAHMUD</t>
  </si>
  <si>
    <t>MD. SOHEL RANA</t>
  </si>
  <si>
    <t>MAHFUZ AHMED</t>
  </si>
  <si>
    <t>MD. ANOWAR HOSSAIN</t>
  </si>
  <si>
    <t>MD. RUHUL AMIN</t>
  </si>
  <si>
    <t>MD. RASEL MIA</t>
  </si>
  <si>
    <t>ABDUR RAHMAN</t>
  </si>
  <si>
    <t>MD. ASADUL ISLAM</t>
  </si>
  <si>
    <t>MD. ASHRAFUL ISLAM</t>
  </si>
  <si>
    <t>MD. SHAFIKUL ISLAM</t>
  </si>
  <si>
    <t>MD. MONIR HOSSAIN</t>
  </si>
  <si>
    <t>KAMRUL ISLAM</t>
  </si>
  <si>
    <t>10017740</t>
  </si>
  <si>
    <t>ABDULLAH AL FAISAL</t>
  </si>
  <si>
    <t>ARIFUL ISLAM</t>
  </si>
  <si>
    <t>MD. SULTAN MAHMUD</t>
  </si>
  <si>
    <t>MD. ZAHID HASAN</t>
  </si>
  <si>
    <t>MD. ABU HASAN</t>
  </si>
  <si>
    <t>MD. SHAHIN ALAM</t>
  </si>
  <si>
    <t>MD. FARUKH HOSSEN</t>
  </si>
  <si>
    <t>MD. JAHIDUL ISLAM</t>
  </si>
  <si>
    <t>MD. SHAMIM MIA</t>
  </si>
  <si>
    <t>CARD - CV RANGPUR</t>
  </si>
  <si>
    <t>MD. ABDUS SALAM</t>
  </si>
  <si>
    <t>FAZLE RABBI</t>
  </si>
  <si>
    <t>MD. RAKIB HASAN</t>
  </si>
  <si>
    <t>Finance &amp; Acc.</t>
  </si>
  <si>
    <t/>
  </si>
  <si>
    <t>AMINUL ISLAM</t>
  </si>
  <si>
    <t>MD. ALAMGIR HOSSAIN</t>
  </si>
  <si>
    <t>MD. KAMRUL ISLAM</t>
  </si>
  <si>
    <t>MD. SELIM REZA</t>
  </si>
  <si>
    <t>MD. AZIZUL ISLAM</t>
  </si>
  <si>
    <t>MD. MAZHARUL ISLAM</t>
  </si>
  <si>
    <t>MD. SHAHADAT HOSSAIN</t>
  </si>
  <si>
    <t>MIS &amp; IT</t>
  </si>
  <si>
    <t>MD. NAZMUL HUDA</t>
  </si>
  <si>
    <t>MD. SADDAM HOSSAIN</t>
  </si>
  <si>
    <t>MD. ANISUR RAHMAN</t>
  </si>
  <si>
    <t>MD. NURUZZAMAN</t>
  </si>
  <si>
    <t>MD. MOSTAFA KAMAL</t>
  </si>
  <si>
    <t>MANSUR ALAM</t>
  </si>
  <si>
    <t>MD. ASRAFUL ISLAM</t>
  </si>
  <si>
    <t>MD. KHAIRUL ISLAM</t>
  </si>
  <si>
    <t>10017156</t>
  </si>
  <si>
    <t>MD. TOUHIDUL ISLAM</t>
  </si>
  <si>
    <t>AGRO-GENERAL</t>
  </si>
  <si>
    <t>AGRO-RANGPUR</t>
  </si>
  <si>
    <t>OPTH-DHAKA-3</t>
  </si>
  <si>
    <t>DIST.-DHAKA-01</t>
  </si>
  <si>
    <t>PHAR-SYLHET-1</t>
  </si>
  <si>
    <t>PHAR-DHAKA-1</t>
  </si>
  <si>
    <t>PHAR-CHITTAGONG-1</t>
  </si>
  <si>
    <t>PHAR-KISHOREGONJ</t>
  </si>
  <si>
    <t>DIST.-BOGURA</t>
  </si>
  <si>
    <t>CARD-CV DHAKA-1</t>
  </si>
  <si>
    <t>PHAR-COMILLA</t>
  </si>
  <si>
    <t>CARD-CV DHAKA-3</t>
  </si>
  <si>
    <t>PHAR-GOPALGONJ</t>
  </si>
  <si>
    <t>ENGINEERING</t>
  </si>
  <si>
    <t>PHAR-FENI</t>
  </si>
  <si>
    <t>PHAR-PATUAKHALI</t>
  </si>
  <si>
    <t>DIST.-KUSTHIA</t>
  </si>
  <si>
    <t>PHAR-RAJSHAHI</t>
  </si>
  <si>
    <t>PHAR-CHANDPUR</t>
  </si>
  <si>
    <t>PHAR-GAZIPUR</t>
  </si>
  <si>
    <t>PHAR-COX'S BAZAR</t>
  </si>
  <si>
    <t>DIST.-NOAKHALI</t>
  </si>
  <si>
    <t>DIST.-SYLHET</t>
  </si>
  <si>
    <t>PHAR - NAOGAON</t>
  </si>
  <si>
    <t>HARM-HM DHAKA-2</t>
  </si>
  <si>
    <t>CARD-CV SYLHET</t>
  </si>
  <si>
    <t>PHAR-DINAJPUR</t>
  </si>
  <si>
    <t>PHAR - JAMALPUR</t>
  </si>
  <si>
    <t>PHAR-BOGRA</t>
  </si>
  <si>
    <t>PHAR-CHITTAGONG-3</t>
  </si>
  <si>
    <t>QUALITY CONTROL GEN.</t>
  </si>
  <si>
    <t>PHAR-NOAKHALI</t>
  </si>
  <si>
    <t>CARD-CV DHAKA-2</t>
  </si>
  <si>
    <t>PHAR-TANGAIL</t>
  </si>
  <si>
    <t>DIST.-C.BAZAR</t>
  </si>
  <si>
    <t>PHAR-JESSORE</t>
  </si>
  <si>
    <t>PHAR-SAVAR</t>
  </si>
  <si>
    <t>DIST.-CUMILLA</t>
  </si>
  <si>
    <t>PHAR-KHULNA</t>
  </si>
  <si>
    <t>HARM - HM BOGURA</t>
  </si>
  <si>
    <t>OPTH-RAJSHAHI</t>
  </si>
  <si>
    <t>PHAR-DHAKA-3</t>
  </si>
  <si>
    <t>OPTH - RANGPUR</t>
  </si>
  <si>
    <t>OPTH-DHAKA-1</t>
  </si>
  <si>
    <t>AGRO-BHAIRAB</t>
  </si>
  <si>
    <t>AGRO - COMILLA</t>
  </si>
  <si>
    <t>PHAR-N.GONJ</t>
  </si>
  <si>
    <t>PHAR-SATKHIRA</t>
  </si>
  <si>
    <t>HARM - HM CHATTOGRAM</t>
  </si>
  <si>
    <t>OPTH-KHULNA</t>
  </si>
  <si>
    <t>PHAR-RANGPUR</t>
  </si>
  <si>
    <t>PHAR-DHAKA-5</t>
  </si>
  <si>
    <t>PHAR-B. BARIA</t>
  </si>
  <si>
    <t>WAREHOUSE</t>
  </si>
  <si>
    <t>CARD-CV DHAKA-4</t>
  </si>
  <si>
    <t>HARM - HM KHULNA</t>
  </si>
  <si>
    <t>SUPPLY CHAIN</t>
  </si>
  <si>
    <t>PHAR-DHAKA-4</t>
  </si>
  <si>
    <t>DIST.-CWH</t>
  </si>
  <si>
    <t>DIST.-CTG</t>
  </si>
  <si>
    <t>CARD - CV BARISHAL</t>
  </si>
  <si>
    <t>PHAR-FARIDPUR</t>
  </si>
  <si>
    <t>HARM - HM SYLHET</t>
  </si>
  <si>
    <t>Cost Center Text</t>
  </si>
  <si>
    <t>Pers Sub Area Txt</t>
  </si>
  <si>
    <t>HUMAN RESOURSE</t>
  </si>
  <si>
    <t>INT. MKT GENERAL</t>
  </si>
  <si>
    <t>PHAR-PABNA</t>
  </si>
  <si>
    <t>QUALITY ASSURANCE</t>
  </si>
  <si>
    <t>CARD - CV MYMENSINGH</t>
  </si>
  <si>
    <t>PHAR-MYMENSINGH</t>
  </si>
  <si>
    <t>DIST.-FARIDPUR</t>
  </si>
  <si>
    <t>FINANCE &amp; ACCOUNTS</t>
  </si>
  <si>
    <t>PHAR-KUSTIA</t>
  </si>
  <si>
    <t>DIST.- B.BARIA</t>
  </si>
  <si>
    <t>PHAR-DHAKA-2</t>
  </si>
  <si>
    <t>CARD - CV CUMILLA</t>
  </si>
  <si>
    <t>PHAR-CHITTAGONG-2</t>
  </si>
  <si>
    <t>DIST.-MYM</t>
  </si>
  <si>
    <t>DIST.-DHAKA-02</t>
  </si>
  <si>
    <t>OPTH-SYLHET</t>
  </si>
  <si>
    <t>CARD - CV RAJSHAHI</t>
  </si>
  <si>
    <t>AGRO-BARISHAL</t>
  </si>
  <si>
    <t>PRODUCTION CEPHALOS</t>
  </si>
  <si>
    <t>OPTH-DHAKA-2</t>
  </si>
  <si>
    <t>OPTH-CHITTAGONG</t>
  </si>
  <si>
    <t>CARD-CV CHITTAGONG-1</t>
  </si>
  <si>
    <t>PHAR - BARISAL-2</t>
  </si>
  <si>
    <t>AGRO - KHULNA</t>
  </si>
  <si>
    <t>PHAR-BARISAL</t>
  </si>
  <si>
    <t>PHAR-NORSHINDI</t>
  </si>
  <si>
    <t>PHAR-SYLHET-2</t>
  </si>
  <si>
    <t>HARM - HM BARISHAL</t>
  </si>
  <si>
    <t>PHAR - HABIGANJ</t>
  </si>
  <si>
    <t>CARD-CV BOGURA</t>
  </si>
  <si>
    <t>HARM-HM DHAKA-3</t>
  </si>
  <si>
    <t>PHAR-DHAKA-6</t>
  </si>
  <si>
    <t>HARM-HM DHAKA-4</t>
  </si>
  <si>
    <t>HARM-HM DHAKA-1</t>
  </si>
  <si>
    <t>HARM - HM MYMENSINGH</t>
  </si>
  <si>
    <t>HARM - HM RANGPUR</t>
  </si>
  <si>
    <t>HARM - HM CUMILLA</t>
  </si>
  <si>
    <t>AGRO - RAJSHAHI</t>
  </si>
  <si>
    <t>BUSINESS DEV DEPT</t>
  </si>
  <si>
    <t>AGRO - KUSTIA</t>
  </si>
  <si>
    <t>AGRO - BOGURA</t>
  </si>
  <si>
    <t>HARM - HM RAJSHAHI</t>
  </si>
  <si>
    <t>88000015268</t>
  </si>
  <si>
    <t>8801894929234</t>
  </si>
  <si>
    <t>8801951243174</t>
  </si>
  <si>
    <t>Phone No</t>
  </si>
  <si>
    <t>LTR PR PW</t>
  </si>
  <si>
    <t>PR</t>
  </si>
  <si>
    <t>2500003625</t>
  </si>
  <si>
    <t>2771856</t>
  </si>
  <si>
    <t>2854785</t>
  </si>
  <si>
    <t>1893287</t>
  </si>
  <si>
    <t>Mobile No 1</t>
  </si>
  <si>
    <t>Joining Date</t>
  </si>
  <si>
    <t>Date of Separation</t>
  </si>
  <si>
    <t>Medical Information Officer</t>
  </si>
  <si>
    <t>E6</t>
  </si>
  <si>
    <t>Sr. Medical  Information Officer</t>
  </si>
  <si>
    <t>E5</t>
  </si>
  <si>
    <t>Senior Area Manager</t>
  </si>
  <si>
    <t>Area Manager</t>
  </si>
  <si>
    <t>E4</t>
  </si>
  <si>
    <t>Product Executive</t>
  </si>
  <si>
    <t>Senior Medical Information Officer</t>
  </si>
  <si>
    <t>Junior Delivery Assistant</t>
  </si>
  <si>
    <t>S5</t>
  </si>
  <si>
    <t>Senior Medical  Information Officer</t>
  </si>
  <si>
    <t>E3</t>
  </si>
  <si>
    <t>Executive-II</t>
  </si>
  <si>
    <t>Assistant Manager</t>
  </si>
  <si>
    <t>Junior Store Assistant</t>
  </si>
  <si>
    <t>S4</t>
  </si>
  <si>
    <t>Junior Transport Assistant</t>
  </si>
  <si>
    <t>S3</t>
  </si>
  <si>
    <t>M8</t>
  </si>
  <si>
    <t>Assistant Officer</t>
  </si>
  <si>
    <t>Product Manager</t>
  </si>
  <si>
    <t>S2</t>
  </si>
  <si>
    <t>Delivery Assistant - II</t>
  </si>
  <si>
    <t>Junior Security Guard</t>
  </si>
  <si>
    <t>Medical Informatin Officer</t>
  </si>
  <si>
    <t>Security Guard - II</t>
  </si>
  <si>
    <t>Medical  Information Officer</t>
  </si>
  <si>
    <t>Delivery Assistant - I</t>
  </si>
  <si>
    <t>Med.  Info. Officer</t>
  </si>
  <si>
    <t>Last Desig</t>
  </si>
  <si>
    <t>Fathers Name</t>
  </si>
  <si>
    <t>Grade</t>
  </si>
  <si>
    <t>Last Pomo</t>
  </si>
  <si>
    <t>Mobile</t>
  </si>
  <si>
    <t>Switched Off</t>
  </si>
  <si>
    <t>Line Busy</t>
  </si>
  <si>
    <t>Wrong Number</t>
  </si>
  <si>
    <t>Md. Ataur Rahman</t>
  </si>
  <si>
    <t>Md. Idris Ali</t>
  </si>
  <si>
    <t>PAID</t>
  </si>
  <si>
    <t>Clearance Certificate Ready</t>
  </si>
  <si>
    <t>Call not Received</t>
  </si>
  <si>
    <t>2500012267</t>
  </si>
  <si>
    <t>3430339</t>
  </si>
  <si>
    <t>3623287</t>
  </si>
  <si>
    <t>2500012303</t>
  </si>
  <si>
    <t>3430377</t>
  </si>
  <si>
    <t>Need to Call</t>
  </si>
  <si>
    <t>Engineering</t>
  </si>
  <si>
    <t>S1</t>
  </si>
  <si>
    <t>Assistant Sales Manager</t>
  </si>
  <si>
    <t>Sales</t>
  </si>
  <si>
    <t>Product Develop</t>
  </si>
  <si>
    <t>Production Supervisor (Grade 3)</t>
  </si>
  <si>
    <t>PRODUCTION SOLID</t>
  </si>
  <si>
    <t>MD. SHARIFUL ISLAM</t>
  </si>
  <si>
    <t>PRODUCTION STERILE</t>
  </si>
  <si>
    <t>ADMINISTRATION</t>
  </si>
  <si>
    <t>Senior Delivery Assistant - II (Grade 3)</t>
  </si>
  <si>
    <t>DIST.-BARISAL</t>
  </si>
  <si>
    <t>Senior Regional Sales Manager</t>
  </si>
  <si>
    <t>E1</t>
  </si>
  <si>
    <t>DIST.-RAJSHAHI</t>
  </si>
  <si>
    <t>Production Supervisor (Grade 4)</t>
  </si>
  <si>
    <t>PRODUCTION(LVP)UNIT2</t>
  </si>
  <si>
    <t>MD. HARUNUR RASHID</t>
  </si>
  <si>
    <t>MD. MAMUNUR RASHID</t>
  </si>
  <si>
    <t>PRODUCTION HORME</t>
  </si>
  <si>
    <t>Regional Sales Manager</t>
  </si>
  <si>
    <t>E2</t>
  </si>
  <si>
    <t>MD. RAFIQUL ISLAM</t>
  </si>
  <si>
    <t>8801851800500</t>
  </si>
  <si>
    <t>Senior Executive-I</t>
  </si>
  <si>
    <t>8801847212967</t>
  </si>
  <si>
    <t>CARD-CV KHULNA</t>
  </si>
  <si>
    <t>MD. ABDUL LATIF</t>
  </si>
  <si>
    <t>MD. NAZRUL ISLAM</t>
  </si>
  <si>
    <t>DIST.-KHULNA</t>
  </si>
  <si>
    <t>Senior Executive-II</t>
  </si>
  <si>
    <t>DIST.-DINAJPUR</t>
  </si>
  <si>
    <t>SHAHIN ALAM</t>
  </si>
  <si>
    <t>Sales Cardiac</t>
  </si>
  <si>
    <t>MD. SHAMIM HOSSAIN</t>
  </si>
  <si>
    <t>Group Product Manager</t>
  </si>
  <si>
    <t>PMD-CARD</t>
  </si>
  <si>
    <t>Driver</t>
  </si>
  <si>
    <t>MD. AMINUL ISLAM</t>
  </si>
  <si>
    <t>MD. MONIRUZZAMAN</t>
  </si>
  <si>
    <t>Store Helper</t>
  </si>
  <si>
    <t>DIST.-BHAIRAB</t>
  </si>
  <si>
    <t>Driver - I</t>
  </si>
  <si>
    <t>MD. SHAKIL AHMED</t>
  </si>
  <si>
    <t>Executive - I</t>
  </si>
  <si>
    <t>Microbiology</t>
  </si>
  <si>
    <t>MD. ASHIKUR RAHMAN</t>
  </si>
  <si>
    <t>Senior Store Assistant</t>
  </si>
  <si>
    <t>MD. RUBEL</t>
  </si>
  <si>
    <t>PRODUCTION GENERAL</t>
  </si>
  <si>
    <t>MD. ARIFUR RAHMAN</t>
  </si>
  <si>
    <t>HARM-HM FENI</t>
  </si>
  <si>
    <t>Junior Housekeeping Assistant</t>
  </si>
  <si>
    <t>DIST.-PROMO</t>
  </si>
  <si>
    <t>QA</t>
  </si>
  <si>
    <t>MD. HABIBUR RAHMAN</t>
  </si>
  <si>
    <t>TANVIR AHMED</t>
  </si>
  <si>
    <t>MD. MASUDUR RAHMAN</t>
  </si>
  <si>
    <t>Junior Production Operator</t>
  </si>
  <si>
    <t>MD. ABDUL ALIM</t>
  </si>
  <si>
    <t>Human Resources</t>
  </si>
  <si>
    <t>Executive</t>
  </si>
  <si>
    <t>MD. ZAKIR HOSSAIN</t>
  </si>
  <si>
    <t>MASUM BILLAH</t>
  </si>
  <si>
    <t>MEHEDI HASAN</t>
  </si>
  <si>
    <t>MD. IMRAN HOSSAIN</t>
  </si>
  <si>
    <t>PMD-PHARMA</t>
  </si>
  <si>
    <t>DRUG &amp; REGULATORY</t>
  </si>
  <si>
    <t>DRA</t>
  </si>
  <si>
    <t>MD. SAIFUL ISLAM</t>
  </si>
  <si>
    <t>Driver- II</t>
  </si>
  <si>
    <t>Executive, Production</t>
  </si>
  <si>
    <t>MD. ALAMIN</t>
  </si>
  <si>
    <t>MD. FIROZ HOSSAIN</t>
  </si>
  <si>
    <t>ATIQUR RAHMAN</t>
  </si>
  <si>
    <t>S6</t>
  </si>
  <si>
    <t>S7</t>
  </si>
  <si>
    <t>MD. RAKIBUL ISLAM</t>
  </si>
  <si>
    <t>Junior Driver</t>
  </si>
  <si>
    <t>Last Date of Check collection</t>
  </si>
  <si>
    <t>ID No.</t>
  </si>
  <si>
    <t>VICTORY-DHAKA-2</t>
  </si>
  <si>
    <t>AGRO - CHATTOGRAM</t>
  </si>
  <si>
    <t>VICTORY-DHAKA-1</t>
  </si>
  <si>
    <t>Junior Technician</t>
  </si>
  <si>
    <t>PHAR - LAXMIPUR</t>
  </si>
  <si>
    <t>VICTORY-KHULNA</t>
  </si>
  <si>
    <t>8801518497654</t>
  </si>
  <si>
    <t>SL No.</t>
  </si>
  <si>
    <t>RS</t>
  </si>
  <si>
    <t>MD. RASHIDUL ISLAM</t>
  </si>
  <si>
    <t>MD. MAHFUZUR RAHMAN</t>
  </si>
  <si>
    <t>MD. NAZIM UDDIN</t>
  </si>
  <si>
    <t>Times taken for Cheque Collection</t>
  </si>
  <si>
    <t>Times taken for Cheque Collection (from date of Separation)</t>
  </si>
  <si>
    <t>MD. AHSAN HABIB</t>
  </si>
  <si>
    <t>PRATTAY CHAKRABORTY</t>
  </si>
  <si>
    <t>MONOWARA BEGUM</t>
  </si>
  <si>
    <t>SHAMIM AHMED MAZUMDER</t>
  </si>
  <si>
    <t>MD. ABDUS SALAM MIA</t>
  </si>
  <si>
    <t>RONY SARKER</t>
  </si>
  <si>
    <t>AHSAN UDDIN AHMED</t>
  </si>
  <si>
    <t>MD. OMAR FARUQUE</t>
  </si>
  <si>
    <t>MD. ASLAM</t>
  </si>
  <si>
    <t>USUF ALI</t>
  </si>
  <si>
    <t>SOURAV KUMAR BISWAS</t>
  </si>
  <si>
    <t>MD. AMAN ULLAH</t>
  </si>
  <si>
    <t>JASIM UDDIN</t>
  </si>
  <si>
    <t>ABDULLA AL SULTAN</t>
  </si>
  <si>
    <t>MOHAMMED IQBAL HOUSAIN</t>
  </si>
  <si>
    <t>MD. RUBEL HOSEN</t>
  </si>
  <si>
    <t>MD. ZUL HAQUE</t>
  </si>
  <si>
    <t>MD. REAZ UDDIN</t>
  </si>
  <si>
    <t>MD. SHAZZAD HOSSEN</t>
  </si>
  <si>
    <t>MD. KAMRUL HASAN</t>
  </si>
  <si>
    <t>JOYANTO BEPARI</t>
  </si>
  <si>
    <t>MD. HARUNOR RASHID</t>
  </si>
  <si>
    <t>MD. AZMAIN MORAL</t>
  </si>
  <si>
    <t>MD. ESKANDAR</t>
  </si>
  <si>
    <t>ERFANUL HAQ CHOWDHURY</t>
  </si>
  <si>
    <t>MITHUN DEBNATH</t>
  </si>
  <si>
    <t>MD. MILAN MIAH</t>
  </si>
  <si>
    <t>MD. SHAIFUDDIN</t>
  </si>
  <si>
    <t>MITHUN KUMAR DAS</t>
  </si>
  <si>
    <t>YASIR ARAFAT</t>
  </si>
  <si>
    <t>AREFIN SHAHRIAR</t>
  </si>
  <si>
    <t>MD. ALAMIN PERVES</t>
  </si>
  <si>
    <t>KAZI MONOWER HOSSAIN</t>
  </si>
  <si>
    <t>MD. AHOSAN HABIB</t>
  </si>
  <si>
    <t>MD. ABDULLAH FAHAD</t>
  </si>
  <si>
    <t>MD. LOKMAN HOSSAIN IMAN</t>
  </si>
  <si>
    <t>MD. TAFATUL ISLAM</t>
  </si>
  <si>
    <t>RASEL RAHMAN</t>
  </si>
  <si>
    <t>MD. AMIRUL ISLAM</t>
  </si>
  <si>
    <t>MD. HAFEJUR RAHMAN</t>
  </si>
  <si>
    <t>MD. SHAMIM ISLAM</t>
  </si>
  <si>
    <t>MD. NASIM</t>
  </si>
  <si>
    <t>MD. BULBUL HOSSAIN</t>
  </si>
  <si>
    <t>ABDULLAH AL AKIB RIFAT</t>
  </si>
  <si>
    <t>MD. JUEL ISLAM</t>
  </si>
  <si>
    <t>MD. TUHIN HOSSAIN</t>
  </si>
  <si>
    <t>MD. MAHMUDUL ISLAM</t>
  </si>
  <si>
    <t>MOHAMMAD MAINUDDIN</t>
  </si>
  <si>
    <t>MD. RUBEL ALI</t>
  </si>
  <si>
    <t>KAMRUL HASSAN</t>
  </si>
  <si>
    <t>SAIKAT ISLAM</t>
  </si>
  <si>
    <t>MD. JUWEL ISLAM</t>
  </si>
  <si>
    <t>MD. SHAHJALAL</t>
  </si>
  <si>
    <t>MD SHARIF MIA</t>
  </si>
  <si>
    <t>BIKAS CHANDRA</t>
  </si>
  <si>
    <t>AHMED BIN RUBEL</t>
  </si>
  <si>
    <t>MOST. SHATHI BANU</t>
  </si>
  <si>
    <t>ABDUL BASIR</t>
  </si>
  <si>
    <t>SOLAIMAN HOSSAIN NEROB</t>
  </si>
  <si>
    <t>SABUJ CHANDRA</t>
  </si>
  <si>
    <t>MD. SAKIBUL HASAN</t>
  </si>
  <si>
    <t>TAPOSH KUMAR DAS</t>
  </si>
  <si>
    <t>MD. FAHIM UDDIN</t>
  </si>
  <si>
    <t>MOHAMMAD FERDOUS KHAN</t>
  </si>
  <si>
    <t>MD. ASIM ALI</t>
  </si>
  <si>
    <t>MD. FERDOUS ALAM</t>
  </si>
  <si>
    <t>BIPOL KUMAR GOSWAMI</t>
  </si>
  <si>
    <t>BROJENDRO NATH ROY</t>
  </si>
  <si>
    <t>AMZAD HOSSAIN</t>
  </si>
  <si>
    <t>MD. SUMON ALI</t>
  </si>
  <si>
    <t>TANBIRUL ISLAM</t>
  </si>
  <si>
    <t>MD. SHOHIDUL ISLAM</t>
  </si>
  <si>
    <t>MOHAMMAD GOLAM MOSTAFA</t>
  </si>
  <si>
    <t>RAJESH GOSH</t>
  </si>
  <si>
    <t>MD. SAZUDUR RAHMAN</t>
  </si>
  <si>
    <t>MD. HASAN MAHMUD</t>
  </si>
  <si>
    <t>KHOKON MIA</t>
  </si>
  <si>
    <t>MUSFIK HASAAN ALIF</t>
  </si>
  <si>
    <t>MD. RAKIB KHAN</t>
  </si>
  <si>
    <t>MD. MONIR ISLAM</t>
  </si>
  <si>
    <t>MD. SOHAG MIA</t>
  </si>
  <si>
    <t>TAREK HOSSAIN</t>
  </si>
  <si>
    <t>MOHAMMAD SUTAN</t>
  </si>
  <si>
    <t>OBEYDUR RAHMAN</t>
  </si>
  <si>
    <t>AOMIT CHANDRO BRAMMON</t>
  </si>
  <si>
    <t>MOHAMMAD LUTFUR RAHMAN</t>
  </si>
  <si>
    <t>MD. OSMAN GONI</t>
  </si>
  <si>
    <t>ASIF MOSTAFA</t>
  </si>
  <si>
    <t>MD. RASEL KHAN</t>
  </si>
  <si>
    <t>MOHAMMED JAHIRUL ALAM</t>
  </si>
  <si>
    <t>MD. RUSSEL MOLLA</t>
  </si>
  <si>
    <t>MD. MAHAMUDUR RAHMAN</t>
  </si>
  <si>
    <t>MD. MOHIBULLAH</t>
  </si>
  <si>
    <t>MD. ALAMIN GHARAMI</t>
  </si>
  <si>
    <t>MD. ATIQUR RAHMAN</t>
  </si>
  <si>
    <t>NIHAR RONJON URAON</t>
  </si>
  <si>
    <t>MD. TOFIKUL ISLAM</t>
  </si>
  <si>
    <t>ABU SHAHED MOHAMMAD RAIHAN</t>
  </si>
  <si>
    <t>SADDAM HOSSAN</t>
  </si>
  <si>
    <t>MOST. LIZA AKTAR</t>
  </si>
  <si>
    <t>MD. ABDUL GOFUR</t>
  </si>
  <si>
    <t>MITU CHONDRO MAHANTO</t>
  </si>
  <si>
    <t>KHALID SAIFULLAH</t>
  </si>
  <si>
    <t>A. S. M. MOKADDAM BILLAH</t>
  </si>
  <si>
    <t>MRIDUL BHATTACHRJEE</t>
  </si>
  <si>
    <t>BABUL KUMAR MAJUMDER</t>
  </si>
  <si>
    <t>MUNNA HOSSAIN</t>
  </si>
  <si>
    <t>MD. AZIZUR RAHMAN</t>
  </si>
  <si>
    <t>OPU SAHA</t>
  </si>
  <si>
    <t>MD. MAHBUBUR RAHMAN</t>
  </si>
  <si>
    <t>JAMIL ALI</t>
  </si>
  <si>
    <t>RUBEL AHAMMED</t>
  </si>
  <si>
    <t>ABU BAKAR SHUBHO</t>
  </si>
  <si>
    <t>MD. APEL MIA</t>
  </si>
  <si>
    <t>MD. RIPON HOSSAIN</t>
  </si>
  <si>
    <t>MD. SOFIQUL ISLAM</t>
  </si>
  <si>
    <t>MOHAMMOD HOSSEN ALI</t>
  </si>
  <si>
    <t>MD. HASIBUL ALAM</t>
  </si>
  <si>
    <t>MD. SHOHAG HOSSAIN</t>
  </si>
  <si>
    <t>DIN ISLAM</t>
  </si>
  <si>
    <t>RUBEL AHMED</t>
  </si>
  <si>
    <t>JAHIRUL ISLAM</t>
  </si>
  <si>
    <t>TANMOY HALDER</t>
  </si>
  <si>
    <t>MD MEHEDUL ISLAM TANG</t>
  </si>
  <si>
    <t>ANGKUR SARKER</t>
  </si>
  <si>
    <t>MD. TOHIDUL ISLAM</t>
  </si>
  <si>
    <t>MD. HASANUZZAMAN</t>
  </si>
  <si>
    <t>MAMUN MONDOL</t>
  </si>
  <si>
    <t>RAJIB CHANDRA PAUL</t>
  </si>
  <si>
    <t>RASHEDUL ISLAM MAHMUD</t>
  </si>
  <si>
    <t>JOWEL DATTA</t>
  </si>
  <si>
    <t>MD. NURUL MUNSUR</t>
  </si>
  <si>
    <t>MD. MIJANOOR RAHMAN</t>
  </si>
  <si>
    <t>8800002421</t>
  </si>
  <si>
    <t>8801847188097</t>
  </si>
  <si>
    <t>8800004236</t>
  </si>
  <si>
    <t>Senior Delivery Assistant - II (Grade- 4</t>
  </si>
  <si>
    <t>8801847213248</t>
  </si>
  <si>
    <t>8801847212306</t>
  </si>
  <si>
    <t>01847212411</t>
  </si>
  <si>
    <t>TAPAN KUMER NAKTI</t>
  </si>
  <si>
    <t>8801847212163</t>
  </si>
  <si>
    <t>8801847212640</t>
  </si>
  <si>
    <t>01847213555</t>
  </si>
  <si>
    <t>8801847188098</t>
  </si>
  <si>
    <t>Assistant Manager, Human Resources</t>
  </si>
  <si>
    <t>8801851236236</t>
  </si>
  <si>
    <t>01866406705</t>
  </si>
  <si>
    <t>8801722203492</t>
  </si>
  <si>
    <t>8801712943808</t>
  </si>
  <si>
    <t>RASHIDUZZAMAN .</t>
  </si>
  <si>
    <t>01839911420</t>
  </si>
  <si>
    <t>01832379778</t>
  </si>
  <si>
    <t>8801736519434</t>
  </si>
  <si>
    <t>01847345808</t>
  </si>
  <si>
    <t>88000013214</t>
  </si>
  <si>
    <t>88000013709</t>
  </si>
  <si>
    <t>88000013811</t>
  </si>
  <si>
    <t>Housekeeping Assistant</t>
  </si>
  <si>
    <t>01829624488</t>
  </si>
  <si>
    <t>88000014043</t>
  </si>
  <si>
    <t>01301301950</t>
  </si>
  <si>
    <t>01894930631</t>
  </si>
  <si>
    <t>01847178831</t>
  </si>
  <si>
    <t>01894930626</t>
  </si>
  <si>
    <t>01740297542</t>
  </si>
  <si>
    <t>01322130969</t>
  </si>
  <si>
    <t>01826371932</t>
  </si>
  <si>
    <t>VICTORY-BOGURA (HQ)</t>
  </si>
  <si>
    <t>01780386837</t>
  </si>
  <si>
    <t>01850370580</t>
  </si>
  <si>
    <t>01767243808</t>
  </si>
  <si>
    <t>01813769456</t>
  </si>
  <si>
    <t>01738189862</t>
  </si>
  <si>
    <t>01737142584</t>
  </si>
  <si>
    <t>01746133921</t>
  </si>
  <si>
    <t>01762946568</t>
  </si>
  <si>
    <t>01829356241</t>
  </si>
  <si>
    <t>01823455689</t>
  </si>
  <si>
    <t>01715248975</t>
  </si>
  <si>
    <t>01737957351</t>
  </si>
  <si>
    <t>01823911414</t>
  </si>
  <si>
    <t>01912815045</t>
  </si>
  <si>
    <t>01673530395</t>
  </si>
  <si>
    <t>01788014409</t>
  </si>
  <si>
    <t>01707595680</t>
  </si>
  <si>
    <t>01647154197</t>
  </si>
  <si>
    <t>01729896463</t>
  </si>
  <si>
    <t>01723621266</t>
  </si>
  <si>
    <t>01905070594</t>
  </si>
  <si>
    <t>01601116766</t>
  </si>
  <si>
    <t>01718164169</t>
  </si>
  <si>
    <t>01300707719</t>
  </si>
  <si>
    <t>01676320267</t>
  </si>
  <si>
    <t>01973656088</t>
  </si>
  <si>
    <t>01911834699</t>
  </si>
  <si>
    <t>01604168656</t>
  </si>
  <si>
    <t>01789053201</t>
  </si>
  <si>
    <t>01780289987</t>
  </si>
  <si>
    <t>01725765082</t>
  </si>
  <si>
    <t>01912889850</t>
  </si>
  <si>
    <t>01751645803</t>
  </si>
  <si>
    <t>01965569299</t>
  </si>
  <si>
    <t>01997972134</t>
  </si>
  <si>
    <t>01648222468</t>
  </si>
  <si>
    <t>01745763018</t>
  </si>
  <si>
    <t>01926904824</t>
  </si>
  <si>
    <t>8801307084556</t>
  </si>
  <si>
    <t>8801934875969</t>
  </si>
  <si>
    <t>8801575072670</t>
  </si>
  <si>
    <t>8801783690089</t>
  </si>
  <si>
    <t>8801642034607</t>
  </si>
  <si>
    <t>8801778587018</t>
  </si>
  <si>
    <t>01722194900</t>
  </si>
  <si>
    <t>8801726227184</t>
  </si>
  <si>
    <t>8801715393381</t>
  </si>
  <si>
    <t>8801758343933</t>
  </si>
  <si>
    <t>AGRO - SYLHET</t>
  </si>
  <si>
    <t>8801723229548</t>
  </si>
  <si>
    <t>8801947747728</t>
  </si>
  <si>
    <t>01927539495</t>
  </si>
  <si>
    <t>8801728313722</t>
  </si>
  <si>
    <t>8801315039737</t>
  </si>
  <si>
    <t>8801764639294</t>
  </si>
  <si>
    <t>8801790549442</t>
  </si>
  <si>
    <t>8801850662473</t>
  </si>
  <si>
    <t>8801732109524</t>
  </si>
  <si>
    <t>MD. ASIF AL FARHAD</t>
  </si>
  <si>
    <t>8801671105925</t>
  </si>
  <si>
    <t>8801767526460</t>
  </si>
  <si>
    <t>8801316562729</t>
  </si>
  <si>
    <t>Technician, Utility</t>
  </si>
  <si>
    <t>8801730982088</t>
  </si>
  <si>
    <t>8801723538899</t>
  </si>
  <si>
    <t>8801632593806</t>
  </si>
  <si>
    <t>8801836474267</t>
  </si>
  <si>
    <t>8801997254623</t>
  </si>
  <si>
    <t>8801774338487</t>
  </si>
  <si>
    <t>8801922355983</t>
  </si>
  <si>
    <t>8801884614800</t>
  </si>
  <si>
    <t>Junior Officer</t>
  </si>
  <si>
    <t>8801743866946</t>
  </si>
  <si>
    <t>8801791-637624</t>
  </si>
  <si>
    <t>8801622012174</t>
  </si>
  <si>
    <t>SADD IBN SADAQUE</t>
  </si>
  <si>
    <t>8801744866604</t>
  </si>
  <si>
    <t>8801313171848</t>
  </si>
  <si>
    <t>8801773405530</t>
  </si>
  <si>
    <t>8801791480231</t>
  </si>
  <si>
    <t>8801305069348</t>
  </si>
  <si>
    <t>8801609387532</t>
  </si>
  <si>
    <t>MICROBIOLOGY-QC</t>
  </si>
  <si>
    <t>8801724156743</t>
  </si>
  <si>
    <t>8801756322545</t>
  </si>
  <si>
    <t>8801518702881</t>
  </si>
  <si>
    <t>8801911113690</t>
  </si>
  <si>
    <t>8801774643917</t>
  </si>
  <si>
    <t>8801781003838</t>
  </si>
  <si>
    <t>CARD - CV KUSHTIA</t>
  </si>
  <si>
    <t>8801312343068</t>
  </si>
  <si>
    <t>8801781003426</t>
  </si>
  <si>
    <t>8801770511391</t>
  </si>
  <si>
    <t>8801648501501</t>
  </si>
  <si>
    <t>8801321085697</t>
  </si>
  <si>
    <t>8801713786712</t>
  </si>
  <si>
    <t>8801307383351</t>
  </si>
  <si>
    <t>8801892688499</t>
  </si>
  <si>
    <t>8801784956217</t>
  </si>
  <si>
    <t>Executive, Product Development</t>
  </si>
  <si>
    <t>RESEARCH &amp; DEVELOPME</t>
  </si>
  <si>
    <t>8801645434310</t>
  </si>
  <si>
    <t>8801690202240</t>
  </si>
  <si>
    <t>8801521239354</t>
  </si>
  <si>
    <t>8801623951315</t>
  </si>
  <si>
    <t>8801944183623</t>
  </si>
  <si>
    <t>PHAR - BHOLA</t>
  </si>
  <si>
    <t>8801306181260</t>
  </si>
  <si>
    <t>8801778370877</t>
  </si>
  <si>
    <t>MAMUN .</t>
  </si>
  <si>
    <t>8801734353753</t>
  </si>
  <si>
    <t>SOMITHRO .</t>
  </si>
  <si>
    <t>8801926461550</t>
  </si>
  <si>
    <t>MD. MAHAMODUL HASAN</t>
  </si>
  <si>
    <t>8801521241361</t>
  </si>
  <si>
    <t>8801722352901</t>
  </si>
  <si>
    <t>8801316086434</t>
  </si>
  <si>
    <t>8801723989033</t>
  </si>
  <si>
    <t>8801854022406</t>
  </si>
  <si>
    <t>PHAR-CHITTAGONG-4</t>
  </si>
  <si>
    <t>8801867907305</t>
  </si>
  <si>
    <t>8801795993349</t>
  </si>
  <si>
    <t>AGRO - DHAKA</t>
  </si>
  <si>
    <t>8801813242680</t>
  </si>
  <si>
    <t>8801670377243</t>
  </si>
  <si>
    <t>8801959739628</t>
  </si>
  <si>
    <t>8801600168591</t>
  </si>
  <si>
    <t>8801780500323</t>
  </si>
  <si>
    <t>MD. SAFIUL HASAN SAFIN</t>
  </si>
  <si>
    <t>8801712856307</t>
  </si>
  <si>
    <t>SEIKH MOHAMMMAD SHAMSUDDOHA</t>
  </si>
  <si>
    <t>8801717081394</t>
  </si>
  <si>
    <t>8801948349202</t>
  </si>
  <si>
    <t>KISMOT .</t>
  </si>
  <si>
    <t>8801723668110</t>
  </si>
  <si>
    <t>8801699660983</t>
  </si>
  <si>
    <t>8801740214498</t>
  </si>
  <si>
    <t>FACTORY SECURITY &amp; A</t>
  </si>
  <si>
    <t>8801409126011</t>
  </si>
  <si>
    <t>8801942475985</t>
  </si>
  <si>
    <t>MD. MOKHLESUR RAHMAN</t>
  </si>
  <si>
    <t>MD. MOMINUL ISLAM</t>
  </si>
  <si>
    <t>RASEL MIA</t>
  </si>
  <si>
    <t>MD. MASHIUR RAHMAN</t>
  </si>
  <si>
    <t>TARIF MAHMUD</t>
  </si>
  <si>
    <t>MD. SUJON</t>
  </si>
  <si>
    <t>DEXT TOP PUBLISHING</t>
  </si>
  <si>
    <t>DTP</t>
  </si>
  <si>
    <t>Senior Security Guard - II (Grade 3)</t>
  </si>
  <si>
    <t>DIST.- PATUAKHALI</t>
  </si>
  <si>
    <t>PMD-OPTHA</t>
  </si>
  <si>
    <t>Security Guard - I</t>
  </si>
  <si>
    <t>Production Operator</t>
  </si>
  <si>
    <t>Senior Product Manager</t>
  </si>
  <si>
    <t>PMD-AGRO</t>
  </si>
  <si>
    <t>MONITORING AND EVAL.</t>
  </si>
  <si>
    <t>M &amp; E</t>
  </si>
  <si>
    <t>Junior Officer, Cash</t>
  </si>
  <si>
    <t>Junior Forklift Operator</t>
  </si>
  <si>
    <t>SMS Sent</t>
  </si>
  <si>
    <t>01817769774</t>
  </si>
  <si>
    <t>01617662757</t>
  </si>
  <si>
    <t>01716467804</t>
  </si>
  <si>
    <t>01759712500</t>
  </si>
  <si>
    <t>01627730707</t>
  </si>
  <si>
    <t>01760073271</t>
  </si>
  <si>
    <t>01774124877</t>
  </si>
  <si>
    <t>01324262087</t>
  </si>
  <si>
    <t>01711149129</t>
  </si>
  <si>
    <t>01763002568</t>
  </si>
  <si>
    <t>01628299966</t>
  </si>
  <si>
    <t>01753571532</t>
  </si>
  <si>
    <t>01723797227</t>
  </si>
  <si>
    <t>01839876058</t>
  </si>
  <si>
    <t>01740553057</t>
  </si>
  <si>
    <t>01914072672</t>
  </si>
  <si>
    <t>01839511742</t>
  </si>
  <si>
    <t>01760109185</t>
  </si>
  <si>
    <t>01826617653</t>
  </si>
  <si>
    <t>01847127685</t>
  </si>
  <si>
    <t>01790507620</t>
  </si>
  <si>
    <t>NOR MOHAMMAD</t>
  </si>
  <si>
    <t>Md. Kabinur Islam</t>
  </si>
  <si>
    <t>Md. Abdul Bari</t>
  </si>
  <si>
    <t>Rafiqul Islam</t>
  </si>
  <si>
    <t>MD. YAKUB HOSSAIN</t>
  </si>
  <si>
    <t>Md. Shahi Sha</t>
  </si>
  <si>
    <t>Md. Khorshed Ali</t>
  </si>
  <si>
    <t>Abu Taher</t>
  </si>
  <si>
    <t>Md. Feroz Khan</t>
  </si>
  <si>
    <t>MD. SAHED</t>
  </si>
  <si>
    <t>MD. SOHAG SHEKH</t>
  </si>
  <si>
    <t>AHMED ASIF JAUAD</t>
  </si>
  <si>
    <t>SUBROTA SINGHA</t>
  </si>
  <si>
    <t>MIR MD. MAHBUB HOSSIAN</t>
  </si>
  <si>
    <t>MD. LIMON ALI</t>
  </si>
  <si>
    <t>MD. AMIT HASAN</t>
  </si>
  <si>
    <t>JOYNAL ABEDIN</t>
  </si>
  <si>
    <t>AL AMIN</t>
  </si>
  <si>
    <t>MOKTAR ALI</t>
  </si>
  <si>
    <t>MD. SYFUL ISLAM</t>
  </si>
  <si>
    <t>MD. OMAR FARUK MIA</t>
  </si>
  <si>
    <t>MD. NABIN AHMED</t>
  </si>
  <si>
    <t>MD. KISER MRIDA</t>
  </si>
  <si>
    <t>MD. AL-AMIN SEFAT</t>
  </si>
  <si>
    <t>MIZAN MAHMUD RASEL</t>
  </si>
  <si>
    <t>MURAD KHAN</t>
  </si>
  <si>
    <t>MD. SHADDAM HOSSAIN</t>
  </si>
  <si>
    <t>MD. RABIUL AOWAL</t>
  </si>
  <si>
    <t>MD. HADISUR RAHMAN</t>
  </si>
  <si>
    <t>MD. AL AMIN MONSI</t>
  </si>
  <si>
    <t>SAYFUL ISLAM</t>
  </si>
  <si>
    <t>MD. RUBEL MRIDHA</t>
  </si>
  <si>
    <t>MD. SHOFIQUR RAHMAN</t>
  </si>
  <si>
    <t>MD. MOYNUDDIN</t>
  </si>
  <si>
    <t>MYDUL ISLAM</t>
  </si>
  <si>
    <t>MD. MOMINUR RAHMAN</t>
  </si>
  <si>
    <t>KAZI ABDUL MUBIN</t>
  </si>
  <si>
    <t>MOLLA MARUF HOSSAIN</t>
  </si>
  <si>
    <t>MD. RANA AHMED</t>
  </si>
  <si>
    <t>SAFAYAT HOSSAIN</t>
  </si>
  <si>
    <t>MD. MUSHARF HOSSEN</t>
  </si>
  <si>
    <t>MD. NAIMUR RAHMAN SAEED</t>
  </si>
  <si>
    <t>MD. SHAHRIAR SIBLI SADIK</t>
  </si>
  <si>
    <t>ABDUL ALIM</t>
  </si>
  <si>
    <t>MONAJ KUMAR SARKAR</t>
  </si>
  <si>
    <t>MOMIN HOSSAIN PATWARY</t>
  </si>
  <si>
    <t>MD. MONIRUL ISLAM</t>
  </si>
  <si>
    <t>MD. RANTU ISLAM</t>
  </si>
  <si>
    <t>ASHIQUR RHAMAN RONI</t>
  </si>
  <si>
    <t>MD. SAHID HASAN</t>
  </si>
  <si>
    <t>SABBIR AHASAN</t>
  </si>
  <si>
    <t>MD. SHIMUL BILLAH</t>
  </si>
  <si>
    <t>ZIAUR RAHMAN</t>
  </si>
  <si>
    <t>MD. AJMIR HOSSEN</t>
  </si>
  <si>
    <t>OMER AHMED</t>
  </si>
  <si>
    <t>MD. KHIRUL ISLAM</t>
  </si>
  <si>
    <t>MD. SARFUDDIN</t>
  </si>
  <si>
    <t>SHAMIMA AKTER</t>
  </si>
  <si>
    <t>MD. MOTATALEB HOSSAIN</t>
  </si>
  <si>
    <t>MAHSIN AKON</t>
  </si>
  <si>
    <t>MUHAMMAD MOSTAFA KAMAL</t>
  </si>
  <si>
    <t>MD. FOKRUL HASAN</t>
  </si>
  <si>
    <t>HARM - HM NOAKHALI</t>
  </si>
  <si>
    <t>CARD-CV CHITTAGONG-2</t>
  </si>
  <si>
    <t>Junior Technician, Maintenance</t>
  </si>
  <si>
    <t>PRODUCTION AGRO</t>
  </si>
  <si>
    <t>8801844532492</t>
  </si>
  <si>
    <t>8800005211</t>
  </si>
  <si>
    <t>8801847178965</t>
  </si>
  <si>
    <t>01889666118</t>
  </si>
  <si>
    <t>8801894930321</t>
  </si>
  <si>
    <t>01894930321</t>
  </si>
  <si>
    <t>01711304043</t>
  </si>
  <si>
    <t>8801773585145</t>
  </si>
  <si>
    <t>8801712832007</t>
  </si>
  <si>
    <t>88000016085</t>
  </si>
  <si>
    <t>01828559493</t>
  </si>
  <si>
    <t>8801783195983</t>
  </si>
  <si>
    <t>01776758858</t>
  </si>
  <si>
    <t>8801894929987</t>
  </si>
  <si>
    <t>01880728027</t>
  </si>
  <si>
    <t>8801754874817</t>
  </si>
  <si>
    <t>01788923877</t>
  </si>
  <si>
    <t>01756134027</t>
  </si>
  <si>
    <t>8801623857584</t>
  </si>
  <si>
    <t>8801703165454</t>
  </si>
  <si>
    <t>01770703055</t>
  </si>
  <si>
    <t>8801868521499</t>
  </si>
  <si>
    <t>01611064745</t>
  </si>
  <si>
    <t>8801750646227</t>
  </si>
  <si>
    <t>8801959580321</t>
  </si>
  <si>
    <t>8801743257583</t>
  </si>
  <si>
    <t>8801719948708</t>
  </si>
  <si>
    <t>8801744408418</t>
  </si>
  <si>
    <t>8801975275207</t>
  </si>
  <si>
    <t>8801580650468</t>
  </si>
  <si>
    <t>8801966864862</t>
  </si>
  <si>
    <t>8801615914285</t>
  </si>
  <si>
    <t>8801575634413</t>
  </si>
  <si>
    <t>8801793302094</t>
  </si>
  <si>
    <t>8801616342993</t>
  </si>
  <si>
    <t>8801713934698</t>
  </si>
  <si>
    <t>01533501997</t>
  </si>
  <si>
    <t>01893072990</t>
  </si>
  <si>
    <t>88000011308</t>
  </si>
  <si>
    <t>88000015834</t>
  </si>
  <si>
    <t>8801844192310</t>
  </si>
  <si>
    <t>01931442643</t>
  </si>
  <si>
    <t>8801817071724</t>
  </si>
  <si>
    <t>01817071724</t>
  </si>
  <si>
    <t>8801728373440</t>
  </si>
  <si>
    <t>880000261</t>
  </si>
  <si>
    <t>8801797321933</t>
  </si>
  <si>
    <t>880000816</t>
  </si>
  <si>
    <t>8801797787743</t>
  </si>
  <si>
    <t>8801750020605</t>
  </si>
  <si>
    <t>8801961218172</t>
  </si>
  <si>
    <t>8801718000489</t>
  </si>
  <si>
    <t>8801894930072</t>
  </si>
  <si>
    <t>01894930072</t>
  </si>
  <si>
    <t>8801773636412</t>
  </si>
  <si>
    <t>8801571349280</t>
  </si>
  <si>
    <t>8801842492717</t>
  </si>
  <si>
    <t>8801311477459</t>
  </si>
  <si>
    <t>8801928850811</t>
  </si>
  <si>
    <t>8801311147931</t>
  </si>
  <si>
    <t>01988136073</t>
  </si>
  <si>
    <t>8801782148696</t>
  </si>
  <si>
    <t>8801601498378</t>
  </si>
  <si>
    <t>8801847212244</t>
  </si>
  <si>
    <t>01847212244</t>
  </si>
  <si>
    <t>8801847213481</t>
  </si>
  <si>
    <t>01847213481</t>
  </si>
  <si>
    <t>8801847345802</t>
  </si>
  <si>
    <t>01847345802</t>
  </si>
  <si>
    <t>Mobile2</t>
  </si>
  <si>
    <t xml:space="preserve">Enayet Ali </t>
  </si>
  <si>
    <t>Bitin Chandro Roy</t>
  </si>
  <si>
    <t xml:space="preserve">Abdul Halim </t>
  </si>
  <si>
    <t xml:space="preserve">MD. Zakir Hossain </t>
  </si>
  <si>
    <t>Gulzar Hossain Molla</t>
  </si>
  <si>
    <t>SK MOHAMMED MAHBUBUR RAHMAN</t>
  </si>
  <si>
    <t>MD. FORHAD CHOWDHURY AKASH</t>
  </si>
  <si>
    <t>MD. JAMIL MIAH</t>
  </si>
  <si>
    <t>KHOSHNUR RAHMAN</t>
  </si>
  <si>
    <t>MD. AL RIFAT</t>
  </si>
  <si>
    <t>MD. SHAHABUDDIN AHMED</t>
  </si>
  <si>
    <t>MD. TOUFIQUL KABIR</t>
  </si>
  <si>
    <t>PHAR-DHAKA-7</t>
  </si>
  <si>
    <t>F. M. TARIQUL ISLAM</t>
  </si>
  <si>
    <t>RASEL AHMED</t>
  </si>
  <si>
    <t>ANAMUL KABIR</t>
  </si>
  <si>
    <t>NAVID ANJUM</t>
  </si>
  <si>
    <t>BODIR MUNSHI</t>
  </si>
  <si>
    <t>DIST.-JASHORE</t>
  </si>
  <si>
    <t>MD. TANGILUR RAHMAN</t>
  </si>
  <si>
    <t>MD. ZASIM UDDIN</t>
  </si>
  <si>
    <t>MD. MAFIJUR RAHMAN</t>
  </si>
  <si>
    <t>AMIN RANA</t>
  </si>
  <si>
    <t>PROSENZIT KUMAR AICH</t>
  </si>
  <si>
    <t>ANIT HALDER</t>
  </si>
  <si>
    <t>NIZAM UDDIN</t>
  </si>
  <si>
    <t>PADAR CHANDRO RAY</t>
  </si>
  <si>
    <t>MD. EKHTEAR UDDIN HOQUE</t>
  </si>
  <si>
    <t>IMRAN HOSSAIN</t>
  </si>
  <si>
    <t>CARD - CV B BARIA</t>
  </si>
  <si>
    <t>MD. SHAIFUL ISLAM</t>
  </si>
  <si>
    <t>MD. KHALIL ISLAM</t>
  </si>
  <si>
    <t>TARIQUL ISLAM</t>
  </si>
  <si>
    <t>MD. JOJ MIAH</t>
  </si>
  <si>
    <t>MAHAMUDUL HASAN</t>
  </si>
  <si>
    <t>VICT-CHATTOGRAM (HQ)</t>
  </si>
  <si>
    <t>SABUZ KUMAR ROY</t>
  </si>
  <si>
    <t>MD. TAMIM HOWLADER</t>
  </si>
  <si>
    <t>MD. ELIUS ALMIN</t>
  </si>
  <si>
    <t>SUJAY KUMAR GHOSH</t>
  </si>
  <si>
    <t>MD. MONTAJ MIA</t>
  </si>
  <si>
    <t>MD. ASADUZZAMAN RONY</t>
  </si>
  <si>
    <t>MD. TARAKUZZAMAN</t>
  </si>
  <si>
    <t>MD. BOKUL PRAMANIK</t>
  </si>
  <si>
    <t>MD. SHAHADAT RONE</t>
  </si>
  <si>
    <t>MOBARAK HOSSAIN</t>
  </si>
  <si>
    <t>MD. SABDUL ISLAM</t>
  </si>
  <si>
    <t>YEASIN KABIR</t>
  </si>
  <si>
    <t>VICTORY-NOAKHALI</t>
  </si>
  <si>
    <t>SHUVO .</t>
  </si>
  <si>
    <t>KHOKON MONDAL</t>
  </si>
  <si>
    <t>LAKMAN HOSSAIN</t>
  </si>
  <si>
    <t>ELIASH AHMED</t>
  </si>
  <si>
    <t>MOHAMMAD REHAN UDDIN</t>
  </si>
  <si>
    <t>MD. YOUSUF HAROON</t>
  </si>
  <si>
    <t>INST - GENERAL</t>
  </si>
  <si>
    <t>Insti. Sales</t>
  </si>
  <si>
    <t>MD. EKRAMUL HAQ RONI</t>
  </si>
  <si>
    <t>MAHFUZUL ISLAM KHAN</t>
  </si>
  <si>
    <t>RUKUNUZZAMAN MIA</t>
  </si>
  <si>
    <t>M. SHAHADAT ALI</t>
  </si>
  <si>
    <t>Letter will be Sent by Legal (Mailed)</t>
  </si>
  <si>
    <t>Sayeb Ali</t>
  </si>
  <si>
    <t>Mozammel Haque</t>
  </si>
  <si>
    <t>Md. Fazlul Haque</t>
  </si>
  <si>
    <t>01521487759</t>
  </si>
  <si>
    <t>No Tress (Talked to RSM)</t>
  </si>
  <si>
    <t>Communicated with rsm</t>
  </si>
  <si>
    <t>mridul@popularbd.com</t>
  </si>
  <si>
    <t>subrata.mondol@popularbd.com</t>
  </si>
  <si>
    <t>rafiqul@popularbd.com</t>
  </si>
  <si>
    <t>nirab@popularbd.com</t>
  </si>
  <si>
    <t>surojit@popularbd.com</t>
  </si>
  <si>
    <t>ziaul.hasan@popularbd.com</t>
  </si>
  <si>
    <t>noman@popularbd.com</t>
  </si>
  <si>
    <t>Communicated with Legal</t>
  </si>
  <si>
    <t>01728166453 Father. Will come.</t>
  </si>
  <si>
    <t>01993815062 Own, Messaged on Whatsapp, 01912208408 Brother. Communicated.</t>
  </si>
  <si>
    <t>BOKHTIAR HOSSAIN</t>
  </si>
  <si>
    <t>SOMIK KUMAR MONDAL</t>
  </si>
  <si>
    <t>NANDA GOPAL</t>
  </si>
  <si>
    <t>MD. REZAUR RAHMAN</t>
  </si>
  <si>
    <t>MAHABUBUR RAHAMAN</t>
  </si>
  <si>
    <t>MD. SHOHAN RANA</t>
  </si>
  <si>
    <t>MD. ABU SALEH</t>
  </si>
  <si>
    <t>MD. MINHAJ UDDIN</t>
  </si>
  <si>
    <t>MOHAMMAD JABED HOSSAIN</t>
  </si>
  <si>
    <t>NAHID HASAN SHUVO</t>
  </si>
  <si>
    <t>MD. FYSAL</t>
  </si>
  <si>
    <t>RIPON BABU</t>
  </si>
  <si>
    <t>PROSENJIT ROY</t>
  </si>
  <si>
    <t>MOHAMMAD ALI ZINNA</t>
  </si>
  <si>
    <t>MD. SHOWKAT HOSSEN</t>
  </si>
  <si>
    <t>S.M. RAHIMUZZAMAN</t>
  </si>
  <si>
    <t>JOYPROKASH MONDAL</t>
  </si>
  <si>
    <t>JANNATUL FERDAUS</t>
  </si>
  <si>
    <t>MD. HASMOT ALI</t>
  </si>
  <si>
    <t>TARIKUL ISLAM</t>
  </si>
  <si>
    <t>MD. ABDUS SAMAD SHORKAR</t>
  </si>
  <si>
    <t>ANIK BANIK</t>
  </si>
  <si>
    <t>JAYED AHMED</t>
  </si>
  <si>
    <t>BULBUL AHMED</t>
  </si>
  <si>
    <t>MD. IMDADUL HAQUE</t>
  </si>
  <si>
    <t>RAKIBUL ISLAM</t>
  </si>
  <si>
    <t>AZIZUL MAHMUD RAZ</t>
  </si>
  <si>
    <t>MD. EBRAHIM HOSSEN</t>
  </si>
  <si>
    <t>MD. SHAMUNUR RAHMAN</t>
  </si>
  <si>
    <t>SANJIDA RAHMAN</t>
  </si>
  <si>
    <t>MOMINUL HASAN</t>
  </si>
  <si>
    <t>SONJOY KUMAR BISWAS</t>
  </si>
  <si>
    <t>ABDUR RAJJAQUE</t>
  </si>
  <si>
    <t>MOHAMMAD YASIN</t>
  </si>
  <si>
    <t>BISHOJIT KUMAR SHADHUKHA</t>
  </si>
  <si>
    <t>NAZMUL HASAN</t>
  </si>
  <si>
    <t>MD SAJIB SHIKDER</t>
  </si>
  <si>
    <t>MD. MAHADI HASAN</t>
  </si>
  <si>
    <t>TASLIM UDDIN</t>
  </si>
  <si>
    <t>MD. SANOAR HOSSAIN</t>
  </si>
  <si>
    <t>KHORSHED ALAM</t>
  </si>
  <si>
    <t>KIBRIA HABIB</t>
  </si>
  <si>
    <t>ANTU DAS</t>
  </si>
  <si>
    <t>KAUSHIK SARKAR</t>
  </si>
  <si>
    <t>MD. JAHEDUL ISLAM</t>
  </si>
  <si>
    <t>MD. NAIM HOSSAIN</t>
  </si>
  <si>
    <t>MD. ASIKIN IKBAL</t>
  </si>
  <si>
    <t>MD. JULFIQAR ALI</t>
  </si>
  <si>
    <t>RAZU RAY</t>
  </si>
  <si>
    <t>A.B.M SHARIFUL ALAM</t>
  </si>
  <si>
    <t>AINUL HAQUE</t>
  </si>
  <si>
    <t>MD. JAHIR HOSSAIN</t>
  </si>
  <si>
    <t>MD. ALI NEWAZ</t>
  </si>
  <si>
    <t>MD. SAYFUL ISLAM</t>
  </si>
  <si>
    <t>MD SAIDUL ISLAM</t>
  </si>
  <si>
    <t>MD. RAKIBUL HASAN</t>
  </si>
  <si>
    <t>MD. JALAL UDDIN</t>
  </si>
  <si>
    <t>MD. SHAZZAD HOSSAIN SHAMIM</t>
  </si>
  <si>
    <t>MUHAMMAD RASEL</t>
  </si>
  <si>
    <t>SHAJIB HOSSAIN</t>
  </si>
  <si>
    <t>MD. HAFIZUR RAHMAN</t>
  </si>
  <si>
    <t>SUJAN KANTI DEY</t>
  </si>
  <si>
    <t>SUKESH KUMAR BISWAS</t>
  </si>
  <si>
    <t>MD. BIPUL MONDOL</t>
  </si>
  <si>
    <t>MD. ZEHAD HOSSAIN</t>
  </si>
  <si>
    <t>MD. ABDULLAH</t>
  </si>
  <si>
    <t>MD. NAZMUL HASAN MUNNA</t>
  </si>
  <si>
    <t>MD. SHAHAJAN HOSSEN</t>
  </si>
  <si>
    <t>MOSTAK AHMED</t>
  </si>
  <si>
    <t>AMANAT ULLAH</t>
  </si>
  <si>
    <t>MD. DELOWAR HOSSAIN</t>
  </si>
  <si>
    <t>SABUJ ALI</t>
  </si>
  <si>
    <t>MD. FORHAD HOSSEN</t>
  </si>
  <si>
    <t>AHSAN HABIB</t>
  </si>
  <si>
    <t>PROHALLAD SAHA</t>
  </si>
  <si>
    <t>MILTON MOLLA</t>
  </si>
  <si>
    <t>MD. JUEL RANA</t>
  </si>
  <si>
    <t>MD. HANNAN HOSSEN</t>
  </si>
  <si>
    <t>ABDUS SALAM MONDOL</t>
  </si>
  <si>
    <t>MD. AKIDUL ISLAM</t>
  </si>
  <si>
    <t>KAIMUL HUDA</t>
  </si>
  <si>
    <t>MD. MIRAZUL ISLAM</t>
  </si>
  <si>
    <t>MURAD LASKAR</t>
  </si>
  <si>
    <t>MOHAMMAD IMRAN KHAN</t>
  </si>
  <si>
    <t>TUSAR KANTI ROY</t>
  </si>
  <si>
    <t>MD. SORFUL ISLAM</t>
  </si>
  <si>
    <t>IMRAN HUSSAIN</t>
  </si>
  <si>
    <t>MD. SYEDUR RAHMAN</t>
  </si>
  <si>
    <t>SYED WONNAS</t>
  </si>
  <si>
    <t>MD. ABDULLAH AL QAYUM</t>
  </si>
  <si>
    <t>KHAIRUL ISLAM</t>
  </si>
  <si>
    <t>HASIBUL HOSSAIN SANTO</t>
  </si>
  <si>
    <t>MASBAH UL HAQUE ZIHAD</t>
  </si>
  <si>
    <t>PORITOSH KUMAR ROY</t>
  </si>
  <si>
    <t>NAFISA ANJUM</t>
  </si>
  <si>
    <t>MD. SAKAUL ALOM</t>
  </si>
  <si>
    <t>RABINDRA CHANDRA DAS</t>
  </si>
  <si>
    <t>SONJIB KUMAR SAHA</t>
  </si>
  <si>
    <t>MD. SABU MIAH</t>
  </si>
  <si>
    <t>MD. FAZLUL HOQUE</t>
  </si>
  <si>
    <t>HADEE SHAFIQUL ISLAM</t>
  </si>
  <si>
    <t>AMJAD HOSSAIN</t>
  </si>
  <si>
    <t>MD. HAMIDUJJAMAN</t>
  </si>
  <si>
    <t>HAJJ KIBRIA</t>
  </si>
  <si>
    <t>MONIRUJJAMAN .</t>
  </si>
  <si>
    <t>JIKU DAS</t>
  </si>
  <si>
    <t>MD. SUJAN MIA</t>
  </si>
  <si>
    <t>MAJARUL ISLAM</t>
  </si>
  <si>
    <t>MRINMOY ROY</t>
  </si>
  <si>
    <t>MD. ANIS</t>
  </si>
  <si>
    <t>MD. SAJON MIA</t>
  </si>
  <si>
    <t>MD. ROKY SHIKDER</t>
  </si>
  <si>
    <t>RABIUL HOSSAIN</t>
  </si>
  <si>
    <t>MD. IMRAN SIKDER</t>
  </si>
  <si>
    <t>MD. YUSUF ALI SHEKH</t>
  </si>
  <si>
    <t>SUMON CHANDRA SHIL</t>
  </si>
  <si>
    <t>SHAHIDUL ISLAM</t>
  </si>
  <si>
    <t>MOHAMMAD IBRAHIM</t>
  </si>
  <si>
    <t>MD MAHADI HASAN</t>
  </si>
  <si>
    <t>TANVIR KHAN</t>
  </si>
  <si>
    <t>MD. HABIB HOSEN</t>
  </si>
  <si>
    <t>MD. RAKATH MOLLA (MST.HASIA BEGUM-Death Case)</t>
  </si>
  <si>
    <t>8801847345641</t>
  </si>
  <si>
    <t>01847345641</t>
  </si>
  <si>
    <t>8801847213245</t>
  </si>
  <si>
    <t>8801711422722</t>
  </si>
  <si>
    <t>88000012291</t>
  </si>
  <si>
    <t>8801894930577</t>
  </si>
  <si>
    <t>01894930577</t>
  </si>
  <si>
    <t>8801717244917</t>
  </si>
  <si>
    <t>88000012508</t>
  </si>
  <si>
    <t>8801836270674</t>
  </si>
  <si>
    <t>01836270674</t>
  </si>
  <si>
    <t>8801770022347</t>
  </si>
  <si>
    <t>8801827814087</t>
  </si>
  <si>
    <t>01827814087</t>
  </si>
  <si>
    <t>8801637486444</t>
  </si>
  <si>
    <t>88000012794</t>
  </si>
  <si>
    <t>8801894929393</t>
  </si>
  <si>
    <t>01773365886</t>
  </si>
  <si>
    <t>8801516125387</t>
  </si>
  <si>
    <t>8801797244820</t>
  </si>
  <si>
    <t>88000012958</t>
  </si>
  <si>
    <t>01854093415</t>
  </si>
  <si>
    <t>8801703503903</t>
  </si>
  <si>
    <t>8801710254138</t>
  </si>
  <si>
    <t>88000013798</t>
  </si>
  <si>
    <t>8801922485974</t>
  </si>
  <si>
    <t>8800007732</t>
  </si>
  <si>
    <t>8801753194450</t>
  </si>
  <si>
    <t>8801847213386</t>
  </si>
  <si>
    <t>01847213386</t>
  </si>
  <si>
    <t>8801875316469</t>
  </si>
  <si>
    <t>8801894929657</t>
  </si>
  <si>
    <t>01918817139</t>
  </si>
  <si>
    <t>8801894929288</t>
  </si>
  <si>
    <t>01739467111</t>
  </si>
  <si>
    <t>8801771013003</t>
  </si>
  <si>
    <t>8801785777608</t>
  </si>
  <si>
    <t>8801910920048</t>
  </si>
  <si>
    <t>8801927650368</t>
  </si>
  <si>
    <t>01927650368</t>
  </si>
  <si>
    <t>8801733920572</t>
  </si>
  <si>
    <t>8801753277860</t>
  </si>
  <si>
    <t>01753277860</t>
  </si>
  <si>
    <t>8801889616821</t>
  </si>
  <si>
    <t>8801774388443</t>
  </si>
  <si>
    <t>8801774321297</t>
  </si>
  <si>
    <t>8801923399826</t>
  </si>
  <si>
    <t>01777836568</t>
  </si>
  <si>
    <t>8801705100114</t>
  </si>
  <si>
    <t>8801792553975</t>
  </si>
  <si>
    <t>8801302756501</t>
  </si>
  <si>
    <t>8801894930644</t>
  </si>
  <si>
    <t>01894930644</t>
  </si>
  <si>
    <t>8801917385369</t>
  </si>
  <si>
    <t>8801791015648</t>
  </si>
  <si>
    <t>8801641004520</t>
  </si>
  <si>
    <t>8801723076265</t>
  </si>
  <si>
    <t>8801832373271</t>
  </si>
  <si>
    <t>8801533614062</t>
  </si>
  <si>
    <t>8801830946054</t>
  </si>
  <si>
    <t>8801580696109</t>
  </si>
  <si>
    <t>01836037105</t>
  </si>
  <si>
    <t>8801834937734</t>
  </si>
  <si>
    <t>8801627585964</t>
  </si>
  <si>
    <t>8801757103010</t>
  </si>
  <si>
    <t>8801759342979</t>
  </si>
  <si>
    <t>8801310712005</t>
  </si>
  <si>
    <t>8801796291623</t>
  </si>
  <si>
    <t>8801625633454</t>
  </si>
  <si>
    <t>8801835889411</t>
  </si>
  <si>
    <t>8801782426925</t>
  </si>
  <si>
    <t>8801973539363</t>
  </si>
  <si>
    <t>8801766292830</t>
  </si>
  <si>
    <t>8801780492288</t>
  </si>
  <si>
    <t>8801767978124</t>
  </si>
  <si>
    <t>8801909342792</t>
  </si>
  <si>
    <t>8801672120929</t>
  </si>
  <si>
    <t>8801916523332</t>
  </si>
  <si>
    <t>01882589945</t>
  </si>
  <si>
    <t>8801771854761</t>
  </si>
  <si>
    <t>88000013029</t>
  </si>
  <si>
    <t>8801748696369</t>
  </si>
  <si>
    <t>8801723666708</t>
  </si>
  <si>
    <t>8801812477790</t>
  </si>
  <si>
    <t>8801716956422</t>
  </si>
  <si>
    <t>8801728557015</t>
  </si>
  <si>
    <t>8801847212576</t>
  </si>
  <si>
    <t>8801894928893</t>
  </si>
  <si>
    <t>8801844275402</t>
  </si>
  <si>
    <t>01844275402</t>
  </si>
  <si>
    <t>01735470685</t>
  </si>
  <si>
    <t>8801718640276</t>
  </si>
  <si>
    <t>01718640276</t>
  </si>
  <si>
    <t>8801844275341</t>
  </si>
  <si>
    <t>01844275341</t>
  </si>
  <si>
    <t>8801894930164</t>
  </si>
  <si>
    <t>8801717408938</t>
  </si>
  <si>
    <t>8801793424959</t>
  </si>
  <si>
    <t>8801710594313</t>
  </si>
  <si>
    <t>88000014840</t>
  </si>
  <si>
    <t>8801894929771</t>
  </si>
  <si>
    <t>01791842675</t>
  </si>
  <si>
    <t>8801642487283</t>
  </si>
  <si>
    <t>88000014366</t>
  </si>
  <si>
    <t>01815886020</t>
  </si>
  <si>
    <t>8801917176686</t>
  </si>
  <si>
    <t>8801601020162</t>
  </si>
  <si>
    <t>8801618389001</t>
  </si>
  <si>
    <t>8801724549968</t>
  </si>
  <si>
    <t>8800009504</t>
  </si>
  <si>
    <t>8801853025272</t>
  </si>
  <si>
    <t>8801672070201</t>
  </si>
  <si>
    <t>88000015353</t>
  </si>
  <si>
    <t>8801894929483</t>
  </si>
  <si>
    <t>01724091412</t>
  </si>
  <si>
    <t>8800003464</t>
  </si>
  <si>
    <t>01773079553</t>
  </si>
  <si>
    <t>01778787346</t>
  </si>
  <si>
    <t>8801894929078</t>
  </si>
  <si>
    <t>01994694601</t>
  </si>
  <si>
    <t>01823968789</t>
  </si>
  <si>
    <t>01722907368</t>
  </si>
  <si>
    <t>8801774218046</t>
  </si>
  <si>
    <t>8801947377630</t>
  </si>
  <si>
    <t>01406923689</t>
  </si>
  <si>
    <t>8801730920165</t>
  </si>
  <si>
    <t>01308038123</t>
  </si>
  <si>
    <t>01725633754</t>
  </si>
  <si>
    <t>8801847345946</t>
  </si>
  <si>
    <t>01718132382</t>
  </si>
  <si>
    <t>8801872109933</t>
  </si>
  <si>
    <t>8801330717060</t>
  </si>
  <si>
    <t>01875565639</t>
  </si>
  <si>
    <t>01747132984</t>
  </si>
  <si>
    <t>8801753849343</t>
  </si>
  <si>
    <t>8801894929508</t>
  </si>
  <si>
    <t>01783204845</t>
  </si>
  <si>
    <t>8801894929732</t>
  </si>
  <si>
    <t>01705241794</t>
  </si>
  <si>
    <t>8801742307618</t>
  </si>
  <si>
    <t>01944564512</t>
  </si>
  <si>
    <t>8801517810141</t>
  </si>
  <si>
    <t>01942295765</t>
  </si>
  <si>
    <t>8801755901903</t>
  </si>
  <si>
    <t>8801751608600</t>
  </si>
  <si>
    <t>8801780554766</t>
  </si>
  <si>
    <t>01739234096</t>
  </si>
  <si>
    <t>8801832476506</t>
  </si>
  <si>
    <t>01832476506</t>
  </si>
  <si>
    <t>8801894930637</t>
  </si>
  <si>
    <t>01894930637</t>
  </si>
  <si>
    <t>8801733258528</t>
  </si>
  <si>
    <t>880000367</t>
  </si>
  <si>
    <t>8801829406264</t>
  </si>
  <si>
    <t>8801624972103</t>
  </si>
  <si>
    <t>01813410659</t>
  </si>
  <si>
    <t>01871122685</t>
  </si>
  <si>
    <t>8801894929869</t>
  </si>
  <si>
    <t>01894929869</t>
  </si>
  <si>
    <t>8801710464287</t>
  </si>
  <si>
    <t>8801847212644</t>
  </si>
  <si>
    <t>8801847179045</t>
  </si>
  <si>
    <t>01847179045</t>
  </si>
  <si>
    <t>Nurul Huda</t>
  </si>
  <si>
    <t>PRODUCTION SOLID U 2</t>
  </si>
  <si>
    <t>Senior Transport Maintenance Technician</t>
  </si>
  <si>
    <t>VICTORY-DHAKA-B</t>
  </si>
  <si>
    <t>Junior Officer, Inventory</t>
  </si>
  <si>
    <t>Executive, Quality Assurance</t>
  </si>
  <si>
    <t>VICTORY-DHAKA-A</t>
  </si>
  <si>
    <t>Security Supervisor (Grade-5)</t>
  </si>
  <si>
    <t>Assistant Technician</t>
  </si>
  <si>
    <t>Delivery Assistant</t>
  </si>
  <si>
    <t>VICTORY-DHAKA-C</t>
  </si>
  <si>
    <t>Senior Security Guard (Grade-5)</t>
  </si>
  <si>
    <t>Sushanta Roy</t>
  </si>
  <si>
    <t>Mridul Das</t>
  </si>
  <si>
    <t>Md. Azizur Rahman</t>
  </si>
  <si>
    <t>Syed Ratun Mia</t>
  </si>
  <si>
    <t>Md Atiqur Rahman</t>
  </si>
  <si>
    <t>Zakir Hossain</t>
  </si>
  <si>
    <t>Male</t>
  </si>
  <si>
    <t>Female</t>
  </si>
  <si>
    <t>Clearance Ready but Not Communicated</t>
  </si>
  <si>
    <t>Md. Litan</t>
  </si>
  <si>
    <t>Md. Nazimuddin Shikder</t>
  </si>
  <si>
    <t>MD. MAJADUR RAHMAN</t>
  </si>
  <si>
    <t>DEWAN MIJANUR RAHMAN</t>
  </si>
  <si>
    <t>MD. ATAUR RAHMAN</t>
  </si>
  <si>
    <t>KHOKON BISWAS</t>
  </si>
  <si>
    <t>MD. MONIRUJJAMAN</t>
  </si>
  <si>
    <t>MD. DIPON ALI</t>
  </si>
  <si>
    <t>MD. SHIHAB HOSSAIN</t>
  </si>
  <si>
    <t>MD. SOBUJ MIAH</t>
  </si>
  <si>
    <t>MD. ABDUL HAKIM</t>
  </si>
  <si>
    <t>MD. RASED KHAN</t>
  </si>
  <si>
    <t>AL-AMIN</t>
  </si>
  <si>
    <t>MD. MUKIBUZZAMAN</t>
  </si>
  <si>
    <t>MD. RAJEKUL ISLAM</t>
  </si>
  <si>
    <t>MD. SUMON ISLAM</t>
  </si>
  <si>
    <t>MD. MOMIN HOSSAIN</t>
  </si>
  <si>
    <t>RIAZ HOSSAIN</t>
  </si>
  <si>
    <t>MD RAIHAN</t>
  </si>
  <si>
    <t>ABDUL HALIM</t>
  </si>
  <si>
    <t>MD. RONI HOSSAIN</t>
  </si>
  <si>
    <t>MOHAMMED AMIR UDDIN</t>
  </si>
  <si>
    <t>ABID RAIHAN</t>
  </si>
  <si>
    <t>MD. TORIKUL ISSLAM DIGUN</t>
  </si>
  <si>
    <t>SAZIB SHAK</t>
  </si>
  <si>
    <t>MD. AYAZ AHMED</t>
  </si>
  <si>
    <t>MD. ROKONOZZAMAN</t>
  </si>
  <si>
    <t>MD. NADIM IBRAHIM</t>
  </si>
  <si>
    <t>SAJAL CHOWDHURY</t>
  </si>
  <si>
    <t>MD. AMANULLAH</t>
  </si>
  <si>
    <t>SADDAM HOSSAIN</t>
  </si>
  <si>
    <t>HASIBUR RAHMAN</t>
  </si>
  <si>
    <t>KAZI ARAFAT</t>
  </si>
  <si>
    <t>MD ABDUR RAHMAN</t>
  </si>
  <si>
    <t>MD. FARUK IFTEKHAR ALI MALIK</t>
  </si>
  <si>
    <t>MD. TAZUL ISLAM</t>
  </si>
  <si>
    <t>MD EBRAHIM</t>
  </si>
  <si>
    <t>MD. ARIF HOSSAIN</t>
  </si>
  <si>
    <t>MD. KHOKON MIYA</t>
  </si>
  <si>
    <t>MD. SHARFUL ALAM FAHAD</t>
  </si>
  <si>
    <t>Senior Delivery Assistant-II (Grade 2)</t>
  </si>
  <si>
    <t>Driver-II</t>
  </si>
  <si>
    <t>Executive-I</t>
  </si>
  <si>
    <t>Kazi Muhammad Ali</t>
  </si>
  <si>
    <t>Shahadat Islam</t>
  </si>
  <si>
    <t>8801706869734</t>
  </si>
  <si>
    <t>8800002267</t>
  </si>
  <si>
    <t>8801729434702</t>
  </si>
  <si>
    <t>88000014044</t>
  </si>
  <si>
    <t>8801894928873</t>
  </si>
  <si>
    <t>8801723305705</t>
  </si>
  <si>
    <t>88000013835</t>
  </si>
  <si>
    <t>8801946597622</t>
  </si>
  <si>
    <t>8801644559183</t>
  </si>
  <si>
    <t>8801768822736</t>
  </si>
  <si>
    <t>8801817147403</t>
  </si>
  <si>
    <t>8801847213711</t>
  </si>
  <si>
    <t>8801855628167</t>
  </si>
  <si>
    <t>8800008218</t>
  </si>
  <si>
    <t>01644798298</t>
  </si>
  <si>
    <t>01776252490</t>
  </si>
  <si>
    <t>MOSHIUR RAHMAN</t>
  </si>
  <si>
    <t>8801847212683</t>
  </si>
  <si>
    <t>01847212683</t>
  </si>
  <si>
    <t>8801748787471</t>
  </si>
  <si>
    <t>88000010269</t>
  </si>
  <si>
    <t>88000015520</t>
  </si>
  <si>
    <t>MOHAMMED ABUL KHAIR (Death Case)</t>
  </si>
  <si>
    <t>MD. MOZAFOR AHMED (Death Case)</t>
  </si>
  <si>
    <t>Authorisation Letter will be sent</t>
  </si>
  <si>
    <t>Not Paid (Canceled)</t>
  </si>
  <si>
    <t>Jafar Alam</t>
  </si>
  <si>
    <t>Liakat Ali</t>
  </si>
  <si>
    <t>01309731480</t>
  </si>
  <si>
    <t>01860797485</t>
  </si>
  <si>
    <t>01335123451</t>
  </si>
  <si>
    <t>01733258528</t>
  </si>
  <si>
    <t>01751564522</t>
  </si>
  <si>
    <t>Md Jahidul Islam</t>
  </si>
  <si>
    <t>Agreed to come.</t>
  </si>
  <si>
    <t>Called and message.</t>
  </si>
  <si>
    <t>Called &amp; agreed to come</t>
  </si>
  <si>
    <t>Switched off</t>
  </si>
  <si>
    <t>Not Received, messaged</t>
  </si>
  <si>
    <t>Messaged &amp; agreed</t>
  </si>
  <si>
    <t>Messaged on Whatsapp &amp; agreed to come</t>
  </si>
  <si>
    <t>Messaged on whatsapp</t>
  </si>
  <si>
    <t>N/A</t>
  </si>
  <si>
    <t>Called his brother &amp; agreed to come.</t>
  </si>
  <si>
    <t>Called his wife &amp; agreed to come.</t>
  </si>
  <si>
    <t>Messaged on Whatsapp &amp; Agreed to come.</t>
  </si>
  <si>
    <t>Legal Comment</t>
  </si>
  <si>
    <t>MD. SHIHAB UDDIN RUMON</t>
  </si>
  <si>
    <t>MD. IQBAL HOSSAN</t>
  </si>
  <si>
    <t>Momeena Mahmood</t>
  </si>
  <si>
    <t>MD. JAHURUL ISLAM</t>
  </si>
  <si>
    <t>Rarks</t>
  </si>
  <si>
    <t>Rarks 2</t>
  </si>
  <si>
    <t>Rarks Info</t>
  </si>
  <si>
    <t>MD. MOSL</t>
  </si>
  <si>
    <t>MD. ALRAN ALI</t>
  </si>
  <si>
    <t>Fale</t>
  </si>
  <si>
    <t>Network probl</t>
  </si>
  <si>
    <t>MD. ABU SAY</t>
  </si>
  <si>
    <t>ABUL KASH</t>
  </si>
  <si>
    <t>RAN HOSSAIN RUMAN</t>
  </si>
  <si>
    <t>MD. RAN SARDER</t>
  </si>
  <si>
    <t>Dead ployee</t>
  </si>
  <si>
    <t>MD. ASHRAFUJJAMAN NAYE</t>
  </si>
  <si>
    <t>MD. ON SHEIK</t>
  </si>
  <si>
    <t>MD. SULAN KHAN RUBEL</t>
  </si>
  <si>
    <t>BIPLOB KUMAR MAJUMDER</t>
  </si>
  <si>
    <t>ANIT ROY CHOWDHURY</t>
  </si>
  <si>
    <t>GOURANGA KUMAR SAHA</t>
  </si>
  <si>
    <t>MD IKBAL HOSSAIN</t>
  </si>
  <si>
    <t>MD. RANA SARKER</t>
  </si>
  <si>
    <t>MOHAMMAD KHANDAKER ALAMGIR</t>
  </si>
  <si>
    <t>KHAIRUL BASHAR</t>
  </si>
  <si>
    <t>MD SOHEL RANA</t>
  </si>
  <si>
    <t>MD. TAHMIDUL HUDA</t>
  </si>
  <si>
    <t>MARZANA SONIA</t>
  </si>
  <si>
    <t>MD. RAIHAN SARDER</t>
  </si>
  <si>
    <t>MD ANWAR HOSSEN</t>
  </si>
  <si>
    <t>MD. JAHEDUR RAHMAN</t>
  </si>
  <si>
    <t>MD. ABDULLAH AL BAPPY</t>
  </si>
  <si>
    <t>ACHINTA KUMAR ROY</t>
  </si>
  <si>
    <t>REZOAN SHARAFAT</t>
  </si>
  <si>
    <t>MD. SUMON REZA</t>
  </si>
  <si>
    <t>MD. ALAMIN MOLLA</t>
  </si>
  <si>
    <t>ANISH CHANDRA DEB</t>
  </si>
  <si>
    <t>MD. IBRAHIM HOSSAIN</t>
  </si>
  <si>
    <t>PINTU BISWAS</t>
  </si>
  <si>
    <t>ABDUL MOTLIB</t>
  </si>
  <si>
    <t>A.T.M REZWANUL HAQUE RUSSEL</t>
  </si>
  <si>
    <t>MD. BELAL MIAH</t>
  </si>
  <si>
    <t>MD. RASHIDUL HASAN</t>
  </si>
  <si>
    <t>MOHAMMAD JAHANGIR HOSSAIN</t>
  </si>
  <si>
    <t>AL AMEEN HOSSAIN</t>
  </si>
  <si>
    <t>MISBAHUL KABIR AKANDA</t>
  </si>
  <si>
    <t>MD. AKTER HOSSAIN</t>
  </si>
  <si>
    <t>MD. EBADUL KHAN</t>
  </si>
  <si>
    <t>MD. MUSLEH UDDIN</t>
  </si>
  <si>
    <t>MD. TAREQ AZIZ</t>
  </si>
  <si>
    <t>ASADUL ISLAM</t>
  </si>
  <si>
    <t>ABDUL KARIM</t>
  </si>
  <si>
    <t>MD. MAHABUBUR RAHMAN</t>
  </si>
  <si>
    <t>ZAKARIA HOSSAIN</t>
  </si>
  <si>
    <t>MD RAKIB HOSEN</t>
  </si>
  <si>
    <t>AHAMED ALI</t>
  </si>
  <si>
    <t>NUR A ALAM</t>
  </si>
  <si>
    <t>ANUKUL CHANDRA SHAHA</t>
  </si>
  <si>
    <t>ZABER HOSEN KHAN</t>
  </si>
  <si>
    <t>MD. RAFIUL ISLAM</t>
  </si>
  <si>
    <t>SABBIR ALOM</t>
  </si>
  <si>
    <t>NAJIMUDDOWLA .</t>
  </si>
  <si>
    <t>SHIPON .</t>
  </si>
  <si>
    <t>ABU SAYED</t>
  </si>
  <si>
    <t>MD IMRAN HOSSAIN</t>
  </si>
  <si>
    <t>MD. JUBAIR ANTOR</t>
  </si>
  <si>
    <t>MOHAMMAD ABDUL GAFFAR CHOWDHURY</t>
  </si>
  <si>
    <t>MOHAMMAD HAIDER ALI</t>
  </si>
  <si>
    <t>SADDAM HOSEN</t>
  </si>
  <si>
    <t>MD. ASHRAFUL ISLAM MAMUN</t>
  </si>
  <si>
    <t>MD BAIZED RAHMAN</t>
  </si>
  <si>
    <t>MANIK KHAN</t>
  </si>
  <si>
    <t>NAZIM UDDIN BHUIYAN</t>
  </si>
  <si>
    <t>BISWAZIT BISWAS</t>
  </si>
  <si>
    <t>MD. ASGOR ALI</t>
  </si>
  <si>
    <t>NAHID MRIDHA</t>
  </si>
  <si>
    <t>SOBHAN ALAM</t>
  </si>
  <si>
    <t>RAKIBUL HOSEN</t>
  </si>
  <si>
    <t>KAZI RAMIZ UDDIN</t>
  </si>
  <si>
    <t>MD. MEKAIL ISLAM</t>
  </si>
  <si>
    <t>MD. YEAMIN HOSSAIN</t>
  </si>
  <si>
    <t>MD. MAMUNUR RASHED</t>
  </si>
  <si>
    <t>MD. ABDUL AZIZ</t>
  </si>
  <si>
    <t>MD. TAJUL ISLAM</t>
  </si>
  <si>
    <t>MD IBRAHIM PATWARY</t>
  </si>
  <si>
    <t>AJAY SHARMA</t>
  </si>
  <si>
    <t>ASHRAFUL HASAN HASIB</t>
  </si>
  <si>
    <t>TANMOY BANERJEE</t>
  </si>
  <si>
    <t>SUMAN CHANDRA BORMAN</t>
  </si>
  <si>
    <t>MD. MIRAJ TALUKDER</t>
  </si>
  <si>
    <t>SAIDUL ISLAM</t>
  </si>
  <si>
    <t>MD. MAMUNUR RAHAMAN</t>
  </si>
  <si>
    <t>NIRANJUN DATTA</t>
  </si>
  <si>
    <t>SUMON AHMED</t>
  </si>
  <si>
    <t>MD. HASIB UDDIN SABUJ</t>
  </si>
  <si>
    <t>IMTEAZ HASAN HRIDOY</t>
  </si>
  <si>
    <t>BURHAN AHMED</t>
  </si>
  <si>
    <t>HAMIDUR RAHMAN</t>
  </si>
  <si>
    <t>NIRMOL CHANDRA DAS</t>
  </si>
  <si>
    <t>TANBIR HASAN SHAON</t>
  </si>
  <si>
    <t>AORVIL RIGHT</t>
  </si>
  <si>
    <t>MD. RAFIQUR RAHMAN FARHAD</t>
  </si>
  <si>
    <t>MD. HASHAN MOLLA</t>
  </si>
  <si>
    <t>MD. RAQIBUL ISLAM</t>
  </si>
  <si>
    <t>8801880939922</t>
  </si>
  <si>
    <t>01773371527</t>
  </si>
  <si>
    <t>01847178411</t>
  </si>
  <si>
    <t>01767099868</t>
  </si>
  <si>
    <t>01894930793</t>
  </si>
  <si>
    <t>88000011913</t>
  </si>
  <si>
    <t>01738316298</t>
  </si>
  <si>
    <t>01753106271</t>
  </si>
  <si>
    <t>01317509967</t>
  </si>
  <si>
    <t>01742107934</t>
  </si>
  <si>
    <t>01706368955</t>
  </si>
  <si>
    <t>01742149845</t>
  </si>
  <si>
    <t>01894929981</t>
  </si>
  <si>
    <t>01796870506</t>
  </si>
  <si>
    <t>01831724883</t>
  </si>
  <si>
    <t>01894930194</t>
  </si>
  <si>
    <t>01924572092</t>
  </si>
  <si>
    <t>01301230406</t>
  </si>
  <si>
    <t>01816744771</t>
  </si>
  <si>
    <t>01581315590</t>
  </si>
  <si>
    <t>01894928870</t>
  </si>
  <si>
    <t>8801779637828</t>
  </si>
  <si>
    <t>01844275215</t>
  </si>
  <si>
    <t>01310708541</t>
  </si>
  <si>
    <t>01847177830</t>
  </si>
  <si>
    <t>Kazi Lokman</t>
  </si>
  <si>
    <t>MD DAUD HOSSAIN</t>
  </si>
  <si>
    <t>ANANDA SHARMA</t>
  </si>
  <si>
    <t>MOHAMMAD MOZIBUR RAHMAN</t>
  </si>
  <si>
    <t>MD. ABU FARID</t>
  </si>
  <si>
    <t>PRODUCTION OPTHA 2</t>
  </si>
  <si>
    <t>Senior Delivery Assistant - II (Grade- 2</t>
  </si>
  <si>
    <t>Senior Delivery Assistant-II (Grade-3)</t>
  </si>
  <si>
    <t>Senior Operator (Grade-3)</t>
  </si>
  <si>
    <t>Technician (Grade-3)</t>
  </si>
  <si>
    <t>Assistant Technician (Grade-3)</t>
  </si>
  <si>
    <t>Delivery Assistant-I</t>
  </si>
  <si>
    <t>HARM-HM CHATTAGRAM-2</t>
  </si>
  <si>
    <t>01919465672 (Emergency)</t>
  </si>
  <si>
    <t>01712975664</t>
  </si>
  <si>
    <t>01711575324</t>
  </si>
  <si>
    <t>01679422280</t>
  </si>
  <si>
    <t>01894929019</t>
  </si>
  <si>
    <t>01995262362</t>
  </si>
  <si>
    <t>01917255066</t>
  </si>
  <si>
    <t>01894930670</t>
  </si>
  <si>
    <t>01723155168</t>
  </si>
  <si>
    <t>01935519815</t>
  </si>
  <si>
    <t>01733207326</t>
  </si>
  <si>
    <t>0191952320</t>
  </si>
  <si>
    <t>01731104110</t>
  </si>
  <si>
    <t>01644681639</t>
  </si>
  <si>
    <t>01685630513</t>
  </si>
  <si>
    <t>01778795791</t>
  </si>
  <si>
    <t>01773128102</t>
  </si>
  <si>
    <t>01750024231</t>
  </si>
  <si>
    <t>01759302876</t>
  </si>
  <si>
    <t>01581813121</t>
  </si>
  <si>
    <t>01790294184</t>
  </si>
  <si>
    <t>01739233123</t>
  </si>
  <si>
    <t>01794067320</t>
  </si>
  <si>
    <t>01819138935</t>
  </si>
  <si>
    <t>01780428849</t>
  </si>
  <si>
    <t>01847346006</t>
  </si>
  <si>
    <t>01322334561</t>
  </si>
  <si>
    <t>01782140300</t>
  </si>
  <si>
    <t>01724321955</t>
  </si>
  <si>
    <t>01627521804</t>
  </si>
  <si>
    <t>01738161627</t>
  </si>
  <si>
    <t>01581851576</t>
  </si>
  <si>
    <t>01845066293</t>
  </si>
  <si>
    <t>01845066292</t>
  </si>
  <si>
    <t>01515651004</t>
  </si>
  <si>
    <t>01789989450</t>
  </si>
  <si>
    <t>01963942490</t>
  </si>
  <si>
    <t>01814203828</t>
  </si>
  <si>
    <t>01705889987</t>
  </si>
  <si>
    <t>01721655624</t>
  </si>
  <si>
    <t>01894930237</t>
  </si>
  <si>
    <t>01760644971</t>
  </si>
  <si>
    <t>01783935923</t>
  </si>
  <si>
    <t>01890264240</t>
  </si>
  <si>
    <t>01716684263</t>
  </si>
  <si>
    <t>01710196059</t>
  </si>
  <si>
    <t>01836269807</t>
  </si>
  <si>
    <t>01600701850</t>
  </si>
  <si>
    <t>01768498979</t>
  </si>
  <si>
    <t>01799669515</t>
  </si>
  <si>
    <t>01706294826</t>
  </si>
  <si>
    <t>01780415602</t>
  </si>
  <si>
    <t>01855980711</t>
  </si>
  <si>
    <t>01646731663</t>
  </si>
  <si>
    <t>01780202995</t>
  </si>
  <si>
    <t>01838720222</t>
  </si>
  <si>
    <t>01840085241</t>
  </si>
  <si>
    <t>01772694422</t>
  </si>
  <si>
    <t>01825808548</t>
  </si>
  <si>
    <t>01947284989</t>
  </si>
  <si>
    <t>01820938170</t>
  </si>
  <si>
    <t>01304339747</t>
  </si>
  <si>
    <t>01719858449</t>
  </si>
  <si>
    <t>01757762200</t>
  </si>
  <si>
    <t>01830141581</t>
  </si>
  <si>
    <t>01687077972</t>
  </si>
  <si>
    <t>01973007496</t>
  </si>
  <si>
    <t>01755418669</t>
  </si>
  <si>
    <t>01999434152</t>
  </si>
  <si>
    <t>01830136415</t>
  </si>
  <si>
    <t>01617070796</t>
  </si>
  <si>
    <t>01516755578</t>
  </si>
  <si>
    <t>01612931737</t>
  </si>
  <si>
    <t>01518984621</t>
  </si>
  <si>
    <t>01986646640</t>
  </si>
  <si>
    <t>01750650607</t>
  </si>
  <si>
    <t>01836589204</t>
  </si>
  <si>
    <t>01754232062</t>
  </si>
  <si>
    <t>01308080677</t>
  </si>
  <si>
    <t>01743987585</t>
  </si>
  <si>
    <t>01940540078</t>
  </si>
  <si>
    <t>01811628308</t>
  </si>
  <si>
    <t>01817390498</t>
  </si>
  <si>
    <t>01777342509</t>
  </si>
  <si>
    <t>01710706407</t>
  </si>
  <si>
    <t>01827590650</t>
  </si>
  <si>
    <t>01622206547</t>
  </si>
  <si>
    <t>01729504943</t>
  </si>
  <si>
    <t>01927327527</t>
  </si>
  <si>
    <t>01303394943</t>
  </si>
  <si>
    <t>01335171977</t>
  </si>
  <si>
    <t>01335123445</t>
  </si>
  <si>
    <t>01978342644</t>
  </si>
  <si>
    <t>01335123446</t>
  </si>
  <si>
    <t>01787683374</t>
  </si>
  <si>
    <t>01319975180</t>
  </si>
  <si>
    <t>01335123455</t>
  </si>
  <si>
    <t>01995177929</t>
  </si>
  <si>
    <t>01335123326</t>
  </si>
  <si>
    <t>01772667975</t>
  </si>
  <si>
    <t>01335066128</t>
  </si>
  <si>
    <t>1838720222,  01321117958</t>
  </si>
  <si>
    <t>01729159440</t>
  </si>
  <si>
    <t>Attab Ali</t>
  </si>
  <si>
    <t>A G M JAKIR HOSSEIN</t>
  </si>
  <si>
    <t>MD. SARWAR HOSSAIN</t>
  </si>
  <si>
    <t>MD. READUZZMAN</t>
  </si>
  <si>
    <t>SHAHBAJ ALAM</t>
  </si>
  <si>
    <t>JHALAK SAHA</t>
  </si>
  <si>
    <t>MD. NUR HOSSAIN</t>
  </si>
  <si>
    <t>OSIQAR RAHMAN</t>
  </si>
  <si>
    <t>MD. SAHAB UDDIN</t>
  </si>
  <si>
    <t>MD. RAHIDUL ISLAM</t>
  </si>
  <si>
    <t>MD. AKTAR HOSSAIN</t>
  </si>
  <si>
    <t>RIYAJ SHIKDER</t>
  </si>
  <si>
    <t>MD. MAYDHAR KHA</t>
  </si>
  <si>
    <t>JUNAID ISLAM</t>
  </si>
  <si>
    <t>ANM RAFIQUL ISLAM</t>
  </si>
  <si>
    <t>MD. ALI AKBAR</t>
  </si>
  <si>
    <t>01712745564</t>
  </si>
  <si>
    <t>01847177796</t>
  </si>
  <si>
    <t>01867479406</t>
  </si>
  <si>
    <t>01817983698</t>
  </si>
  <si>
    <t>01734209343</t>
  </si>
  <si>
    <t>01894930666</t>
  </si>
  <si>
    <t>01729466652</t>
  </si>
  <si>
    <t>01847345818</t>
  </si>
  <si>
    <t>01727101080</t>
  </si>
  <si>
    <t>01847345987</t>
  </si>
  <si>
    <t>01627192076</t>
  </si>
  <si>
    <t>01894929117</t>
  </si>
  <si>
    <t>01949965697</t>
  </si>
  <si>
    <t>01847346027</t>
  </si>
  <si>
    <t>01767637971</t>
  </si>
  <si>
    <t>01785407049</t>
  </si>
  <si>
    <t>01919856340</t>
  </si>
  <si>
    <t>01713430519</t>
  </si>
  <si>
    <t>01705288048</t>
  </si>
  <si>
    <t>01847345741</t>
  </si>
  <si>
    <t>01725255733</t>
  </si>
  <si>
    <t>01776131742</t>
  </si>
  <si>
    <t>01705065613</t>
  </si>
  <si>
    <t>01644611690</t>
  </si>
  <si>
    <t>01812115411</t>
  </si>
  <si>
    <t>01864856972</t>
  </si>
  <si>
    <t>01962624933</t>
  </si>
  <si>
    <t>01903593295</t>
  </si>
  <si>
    <t>01847345708</t>
  </si>
  <si>
    <t>01797722099</t>
  </si>
  <si>
    <t>01823179892</t>
  </si>
  <si>
    <t>Brother Received the Call</t>
  </si>
  <si>
    <t>Golam Mohammed Shahariar</t>
  </si>
  <si>
    <t>SHAMSUL ALAM</t>
  </si>
  <si>
    <t>MD YOUSUF ALI</t>
  </si>
  <si>
    <t>MD. SALIM REZA</t>
  </si>
  <si>
    <t>TAZIC ARSALAN KHAN</t>
  </si>
  <si>
    <t>MD. ANOWER HOSSEN</t>
  </si>
  <si>
    <t>MITU DEB NATH</t>
  </si>
  <si>
    <t>ZADAB KUMAR SAHA</t>
  </si>
  <si>
    <t>MD. KAIF HOSSAIN</t>
  </si>
  <si>
    <t>NAYON CHAKRABORTY</t>
  </si>
  <si>
    <t>MD. JAKARIY</t>
  </si>
  <si>
    <t>MD. ROKONUZZAMAN</t>
  </si>
  <si>
    <t>MD. HAMIDUR RAHAMAN</t>
  </si>
  <si>
    <t xml:space="preserve"> SAGOR ALI</t>
  </si>
  <si>
    <t xml:space="preserve"> KHONDAKAR FAISAL MAHMUD</t>
  </si>
  <si>
    <t xml:space="preserve"> MD TORIKUL ISLAM</t>
  </si>
  <si>
    <t xml:space="preserve"> MD. YAKUB UL AZAD</t>
  </si>
  <si>
    <t xml:space="preserve"> UZZAL GAIN</t>
  </si>
  <si>
    <t xml:space="preserve"> SHOHAG HOSSAIN</t>
  </si>
  <si>
    <t>MD. MOTAHAR HOSSAIN</t>
  </si>
  <si>
    <t>MD RAFIQUL ISLAM</t>
  </si>
  <si>
    <t xml:space="preserve"> MD. RASEL HUSSAIN</t>
  </si>
  <si>
    <t xml:space="preserve"> MD. AMDADUL ISLAM</t>
  </si>
  <si>
    <t xml:space="preserve"> MD. JASIMUDDIN</t>
  </si>
  <si>
    <t xml:space="preserve"> TAROK DABO NATH</t>
  </si>
  <si>
    <t xml:space="preserve"> TANVIR HOSSAIN</t>
  </si>
  <si>
    <t xml:space="preserve"> MOTIAR RAHMAN</t>
  </si>
  <si>
    <t xml:space="preserve"> ARPON KUMAR DEY</t>
  </si>
  <si>
    <t xml:space="preserve"> MD. ZAHIDUL ISLAM</t>
  </si>
  <si>
    <t xml:space="preserve"> MD. AKRAMUL ALAM</t>
  </si>
  <si>
    <t xml:space="preserve"> ARIFUL ISLAM</t>
  </si>
  <si>
    <t xml:space="preserve"> K. M. SHOHEL RANA</t>
  </si>
  <si>
    <t xml:space="preserve"> NURUL ALAM</t>
  </si>
  <si>
    <t xml:space="preserve"> ANAYET KABIR</t>
  </si>
  <si>
    <t xml:space="preserve"> MD. SADEKUL ALAM</t>
  </si>
  <si>
    <t xml:space="preserve"> FARZANA AKTER</t>
  </si>
  <si>
    <t xml:space="preserve"> ASHRAFUL ALAM</t>
  </si>
  <si>
    <t xml:space="preserve"> FARUK HOSSAIN</t>
  </si>
  <si>
    <t xml:space="preserve"> MISHU CHANDRA SARKAR</t>
  </si>
  <si>
    <t xml:space="preserve"> RUBEL SHIKDER</t>
  </si>
  <si>
    <t xml:space="preserve"> MD. ARMAN HASAN TANZIL</t>
  </si>
  <si>
    <t xml:space="preserve"> MD. FOYEZUR RAHMAN</t>
  </si>
  <si>
    <t xml:space="preserve"> JAKIA SULTANA</t>
  </si>
  <si>
    <t xml:space="preserve"> MD. ENAMUL HOQUE SOWPON</t>
  </si>
  <si>
    <t>Mrs. MAHMUDA AKTER</t>
  </si>
  <si>
    <t xml:space="preserve"> ABDUL MUMIN KHAN</t>
  </si>
  <si>
    <t xml:space="preserve"> MD. JOBIDUL MIA</t>
  </si>
  <si>
    <t>MOHAMMAD BADRUDDUZA MISHKAT</t>
  </si>
  <si>
    <t xml:space="preserve"> SAIFUL ISLAM</t>
  </si>
  <si>
    <t xml:space="preserve"> MD. MINARUL ISLAM</t>
  </si>
  <si>
    <t xml:space="preserve"> MD. SHAMIM MIA</t>
  </si>
  <si>
    <t xml:space="preserve"> RIYAZ UDDIN</t>
  </si>
  <si>
    <t xml:space="preserve"> MD. KAWSAR HOSSAIN</t>
  </si>
  <si>
    <t xml:space="preserve"> MAHBUB ALAM</t>
  </si>
  <si>
    <t xml:space="preserve"> SUVASIS BISWAS</t>
  </si>
  <si>
    <t xml:space="preserve"> MD. REZAUL KARIM</t>
  </si>
  <si>
    <t xml:space="preserve"> SHAMOL KUMAR</t>
  </si>
  <si>
    <t xml:space="preserve"> ARUN KUMAR GAYEN</t>
  </si>
  <si>
    <t xml:space="preserve"> MD. BARKAT ULLAH BULU</t>
  </si>
  <si>
    <t xml:space="preserve"> MD. MAMAUN BISWAS</t>
  </si>
  <si>
    <t xml:space="preserve"> NAZMUL ISLAM</t>
  </si>
  <si>
    <t xml:space="preserve"> MD. SAIF HOSSAIN SIAM</t>
  </si>
  <si>
    <t xml:space="preserve"> LITON KUMAR PRAMANIK</t>
  </si>
  <si>
    <t xml:space="preserve"> MD. IQBAL HOSSEN</t>
  </si>
  <si>
    <t xml:space="preserve"> MD. ELIAS UDDIN</t>
  </si>
  <si>
    <t xml:space="preserve"> MD. MUSTAKIM BILLAH</t>
  </si>
  <si>
    <t xml:space="preserve"> ZIAUL HOQUE</t>
  </si>
  <si>
    <t>MIR JOBAIDUL KARIM</t>
  </si>
  <si>
    <t>REZAUL ISLAM KHAN RAIHAN</t>
  </si>
  <si>
    <t>MD. SAEDI ISLAM JOY</t>
  </si>
  <si>
    <t>MD. LIMON MIA</t>
  </si>
  <si>
    <t>MD. HABIBUL BASER</t>
  </si>
  <si>
    <t>SYED MURSALIN AL HASAN</t>
  </si>
  <si>
    <t>MD. KAMAL HOSSEN</t>
  </si>
  <si>
    <t>SHAKAWAT  HOSSAIN KHAN</t>
  </si>
  <si>
    <t>MD. ARSHAD HOSSAIN</t>
  </si>
  <si>
    <t>TOSHAR HOSSAIN</t>
  </si>
  <si>
    <t>MD. ABDUL MUTALEB</t>
  </si>
  <si>
    <t>MD. SAIFUL ISLAM RONY</t>
  </si>
  <si>
    <t>ZAHIRUL ISLAM</t>
  </si>
  <si>
    <t>MD. ABDUR RASHID TALUKDAR AZAD</t>
  </si>
  <si>
    <t>MD.SHIHAB UDDIN RUMON</t>
  </si>
  <si>
    <t>VICTORY-RANGPUR</t>
  </si>
  <si>
    <t>Production Gene</t>
  </si>
  <si>
    <t>ASADUL ALI</t>
  </si>
  <si>
    <t>MD ABDUL MAZID</t>
  </si>
  <si>
    <t>Md. Shafiqul Islam</t>
  </si>
  <si>
    <t>ASHOK KUMAR DEY</t>
  </si>
  <si>
    <t>Jamal Mridha</t>
  </si>
  <si>
    <t>BONOMALI SARKAR</t>
  </si>
  <si>
    <t>Late Md. Ajhar Howladar</t>
  </si>
  <si>
    <t>Md. Abbas Ali</t>
  </si>
  <si>
    <t>Md. Oyajed Ali Shikder</t>
  </si>
  <si>
    <t>Mir Fazlul Karim</t>
  </si>
  <si>
    <t>Md. Sher Ali</t>
  </si>
  <si>
    <t>01797935844 (In Abroad)</t>
  </si>
  <si>
    <t>01844275270</t>
  </si>
  <si>
    <t>01721831015</t>
  </si>
  <si>
    <t>01930794404</t>
  </si>
  <si>
    <t>01953906736</t>
  </si>
  <si>
    <t>01755423189</t>
  </si>
  <si>
    <t>01401305503</t>
  </si>
  <si>
    <t>Beauty Begum-01753123852</t>
  </si>
  <si>
    <t>01790190806</t>
  </si>
  <si>
    <t>01813786286</t>
  </si>
  <si>
    <t>01720959715</t>
  </si>
  <si>
    <t>01750479178</t>
  </si>
  <si>
    <t>01680064907</t>
  </si>
  <si>
    <t>01813314064</t>
  </si>
  <si>
    <t>01642647893</t>
  </si>
  <si>
    <t>01754736851</t>
  </si>
  <si>
    <t>01317073751</t>
  </si>
  <si>
    <t>01759808595</t>
  </si>
  <si>
    <t>01721190267</t>
  </si>
  <si>
    <t>01885855291</t>
  </si>
  <si>
    <t>01614780662</t>
  </si>
  <si>
    <t>01732029287</t>
  </si>
  <si>
    <t>01847212854</t>
  </si>
  <si>
    <t>01750343979</t>
  </si>
  <si>
    <t>01558295015</t>
  </si>
  <si>
    <t>01723089220</t>
  </si>
  <si>
    <t>01797008898</t>
  </si>
  <si>
    <t>01723843621</t>
  </si>
  <si>
    <t>01785600774</t>
  </si>
  <si>
    <t>01866692777</t>
  </si>
  <si>
    <t>01722189875</t>
  </si>
  <si>
    <t>01711874481</t>
  </si>
  <si>
    <t>01726739905</t>
  </si>
  <si>
    <t>01515260251</t>
  </si>
  <si>
    <t>01915479812</t>
  </si>
  <si>
    <t>01616071242</t>
  </si>
  <si>
    <t>01745328651</t>
  </si>
  <si>
    <t>01781779612</t>
  </si>
  <si>
    <t>01841266307</t>
  </si>
  <si>
    <t>01988773394</t>
  </si>
  <si>
    <t>01847178706</t>
  </si>
  <si>
    <t>01926705690</t>
  </si>
  <si>
    <t>01854383258</t>
  </si>
  <si>
    <t>01894929622</t>
  </si>
  <si>
    <t>01740956477</t>
  </si>
  <si>
    <t>01715695142</t>
  </si>
  <si>
    <t>01964649534</t>
  </si>
  <si>
    <t>01894930359</t>
  </si>
  <si>
    <t>01783163537</t>
  </si>
  <si>
    <t>01773314877</t>
  </si>
  <si>
    <t>01847345580</t>
  </si>
  <si>
    <t>01791314332</t>
  </si>
  <si>
    <t>01965525066</t>
  </si>
  <si>
    <t>01747783934</t>
  </si>
  <si>
    <t>01632270362</t>
  </si>
  <si>
    <t>01815307870</t>
  </si>
  <si>
    <t>01753608069</t>
  </si>
  <si>
    <t>01918024124</t>
  </si>
  <si>
    <t>01919455610</t>
  </si>
  <si>
    <t>01894928950</t>
  </si>
  <si>
    <t>01772802798</t>
  </si>
  <si>
    <t>01894929557</t>
  </si>
  <si>
    <t>01736481271</t>
  </si>
  <si>
    <t>01847179085</t>
  </si>
  <si>
    <t>01754007422</t>
  </si>
  <si>
    <t>01723201182</t>
  </si>
  <si>
    <t>01717874785</t>
  </si>
  <si>
    <t>01735687456</t>
  </si>
  <si>
    <t>01711318737</t>
  </si>
  <si>
    <t>01959436397</t>
  </si>
  <si>
    <t>01861926513</t>
  </si>
  <si>
    <t>01600087517</t>
  </si>
  <si>
    <t>01910108509</t>
  </si>
  <si>
    <t>01840442245</t>
  </si>
  <si>
    <t>01788312781</t>
  </si>
  <si>
    <t>01966318974</t>
  </si>
  <si>
    <t>01822115926</t>
  </si>
  <si>
    <t>01682785591</t>
  </si>
  <si>
    <t>01755094523</t>
  </si>
  <si>
    <t>01606543129</t>
  </si>
  <si>
    <t>01749900691</t>
  </si>
  <si>
    <t>01317752276</t>
  </si>
  <si>
    <t>01724078744</t>
  </si>
  <si>
    <t>01847212427</t>
  </si>
  <si>
    <t>01916985663</t>
  </si>
  <si>
    <t>01812406383</t>
  </si>
  <si>
    <t>01611217851</t>
  </si>
  <si>
    <t>01894929804</t>
  </si>
  <si>
    <t>01701318281</t>
  </si>
  <si>
    <t>01701397441</t>
  </si>
  <si>
    <t>01718985810</t>
  </si>
  <si>
    <t>01721207485</t>
  </si>
  <si>
    <t>01722213459</t>
  </si>
  <si>
    <t>01723306842</t>
  </si>
  <si>
    <t>01723551766</t>
  </si>
  <si>
    <t>01926533628</t>
  </si>
  <si>
    <t>01763058555</t>
  </si>
  <si>
    <t>01720267758</t>
  </si>
  <si>
    <t>01575465209</t>
  </si>
  <si>
    <t>01716557567</t>
  </si>
  <si>
    <t>01326239626</t>
  </si>
  <si>
    <t>01957537073</t>
  </si>
  <si>
    <t>01646185074</t>
  </si>
  <si>
    <t>01915659482</t>
  </si>
  <si>
    <t>01847054172</t>
  </si>
  <si>
    <t>01714679921</t>
  </si>
  <si>
    <t>01725780808</t>
  </si>
  <si>
    <t>01757121735</t>
  </si>
  <si>
    <t>01744337034 (In Abroad)</t>
  </si>
  <si>
    <t>01642159577</t>
  </si>
  <si>
    <t>01315771188</t>
  </si>
  <si>
    <t>01713433383</t>
  </si>
  <si>
    <t>0186692777</t>
  </si>
  <si>
    <t>01335123370</t>
  </si>
  <si>
    <t>01647285875</t>
  </si>
  <si>
    <t>01335123493</t>
  </si>
  <si>
    <t>01711357184</t>
  </si>
  <si>
    <t>01335123492</t>
  </si>
  <si>
    <t>01321129353</t>
  </si>
  <si>
    <t>01713172841</t>
  </si>
  <si>
    <t>01991141845</t>
  </si>
  <si>
    <t>01886779612</t>
  </si>
  <si>
    <t>Soleman Mollah</t>
  </si>
  <si>
    <t>01792754775</t>
  </si>
  <si>
    <t>01617116704</t>
  </si>
  <si>
    <t>01705845595</t>
  </si>
  <si>
    <t>01788163821</t>
  </si>
  <si>
    <t>01751121108</t>
  </si>
  <si>
    <t>01835164110</t>
  </si>
  <si>
    <t>01677507302</t>
  </si>
  <si>
    <t>01861064809</t>
  </si>
  <si>
    <t>01885789052</t>
  </si>
  <si>
    <t>01703240615</t>
  </si>
  <si>
    <t>01312112393</t>
  </si>
  <si>
    <t>01679427112</t>
  </si>
  <si>
    <t>01758525090</t>
  </si>
  <si>
    <t>01785255090</t>
  </si>
  <si>
    <t>01309407341</t>
  </si>
  <si>
    <t>01725882666</t>
  </si>
  <si>
    <t>01304818308</t>
  </si>
  <si>
    <t>01894930587</t>
  </si>
  <si>
    <t>01894929693</t>
  </si>
  <si>
    <t>01894930559</t>
  </si>
  <si>
    <t>01824763285</t>
  </si>
  <si>
    <t>01742176429</t>
  </si>
  <si>
    <t>01843237743</t>
  </si>
  <si>
    <t>01713668309</t>
  </si>
  <si>
    <t>01618392478</t>
  </si>
  <si>
    <t>01608752928</t>
  </si>
  <si>
    <t>01723277274</t>
  </si>
  <si>
    <t>01611785015</t>
  </si>
  <si>
    <t>01840418851</t>
  </si>
  <si>
    <t>01872034360</t>
  </si>
  <si>
    <t>01901096225</t>
  </si>
  <si>
    <t>Call Received by Brother</t>
  </si>
  <si>
    <t>Called &amp; agreed to come, 01705479201</t>
  </si>
  <si>
    <t>Called &amp; agreed to come.</t>
  </si>
  <si>
    <t>Called &amp; agreed to come., 01834388137</t>
  </si>
  <si>
    <t>Called &amp; agreed to come. 01308080678</t>
  </si>
  <si>
    <t>Called &amp; agreed to come, 01814782835</t>
  </si>
  <si>
    <t>Letter sent</t>
  </si>
  <si>
    <t>Called &amp; agreed to come, 01617129698</t>
  </si>
  <si>
    <t>YAKUB ALI BHUYAIN</t>
  </si>
  <si>
    <t>TANGILA SHARMIN</t>
  </si>
  <si>
    <t>c</t>
  </si>
  <si>
    <t>MD. SABAUL ISLAM</t>
  </si>
  <si>
    <t>RAFI AHMED MIAH</t>
  </si>
  <si>
    <t>MD. TASLIM AHAMED</t>
  </si>
  <si>
    <t>SHAKIF MAHBUB</t>
  </si>
  <si>
    <t>MD. ABDULLAH HIL BAKY RUPAK</t>
  </si>
  <si>
    <t>MD. ASIF IQBAL NAYEEM</t>
  </si>
  <si>
    <t>MD. SOHAN HOSSAIN</t>
  </si>
  <si>
    <t>MD. ANAMUL ISLAM</t>
  </si>
  <si>
    <t>Samsul Islam Bhuyan</t>
  </si>
  <si>
    <t>Supervisor (Grade-2)</t>
  </si>
  <si>
    <t>01521452168</t>
  </si>
  <si>
    <t>01810062379</t>
  </si>
  <si>
    <t>01716188824</t>
  </si>
  <si>
    <t>Graphic Designer</t>
  </si>
  <si>
    <t>Executive, Quality Control</t>
  </si>
  <si>
    <t>01823229989</t>
  </si>
  <si>
    <t>01712577132</t>
  </si>
  <si>
    <t>01688670553</t>
  </si>
  <si>
    <t>01780774444</t>
  </si>
  <si>
    <t>01689444993</t>
  </si>
  <si>
    <t>01874505999</t>
  </si>
  <si>
    <t>01771429296</t>
  </si>
  <si>
    <t>01752293348</t>
  </si>
  <si>
    <t>MOHAMMAD JAKIR HOSSEN</t>
  </si>
  <si>
    <t>AL MAHMOOD BIN AKOND</t>
  </si>
  <si>
    <t>MD ROBIUL ISLAM</t>
  </si>
  <si>
    <t>ARAFAT ISLAM</t>
  </si>
  <si>
    <t>HIMEL KUMAR PAUL</t>
  </si>
  <si>
    <t>MD. MAHIUDDIN AHMED</t>
  </si>
  <si>
    <t>HABIBUR RAHMAN</t>
  </si>
  <si>
    <t>SOHAG BISWAS</t>
  </si>
  <si>
    <t>SHAKHAWAT HOSSAIN</t>
  </si>
  <si>
    <t>MD. HOSEN ALI</t>
  </si>
  <si>
    <t>MD. ABURAJON RABBI</t>
  </si>
  <si>
    <t>MD. SABBIR RAHMAN</t>
  </si>
  <si>
    <t>SAHIN TALUKDER</t>
  </si>
  <si>
    <t>MD. SALMAN HOSSAIN</t>
  </si>
  <si>
    <t>MD.ABDUS SALAM SHEIKH</t>
  </si>
  <si>
    <t>MD. MAHFUJAR RAHMAN</t>
  </si>
  <si>
    <t>A.K.M. SHAMSUZZOHA</t>
  </si>
  <si>
    <t>MD.AZIM HOSSAIN</t>
  </si>
  <si>
    <t>MD. MIJANUR RAHMAN KHAN</t>
  </si>
  <si>
    <t>KAMRUZZAMAN .</t>
  </si>
  <si>
    <t>SABAKUL ISLAM</t>
  </si>
  <si>
    <t>MD RAIHAN ALI</t>
  </si>
  <si>
    <t>MD. RAJIB SHAIKH</t>
  </si>
  <si>
    <t>AYUB ALI</t>
  </si>
  <si>
    <t>MD. LOKMAN HOSSAIN</t>
  </si>
  <si>
    <t>ASHIKUL ISLAM</t>
  </si>
  <si>
    <t>MD. RAHAMATULLAH</t>
  </si>
  <si>
    <t>MD. JAYNUL ABEDIN</t>
  </si>
  <si>
    <t>MD. EMDADUL HAQUE</t>
  </si>
  <si>
    <t>MD. RIFATH HOSSAIN AL</t>
  </si>
  <si>
    <t>MD ATAUR RAHMAN</t>
  </si>
  <si>
    <t>MD MOSLEM UDDIN</t>
  </si>
  <si>
    <t>01878118125</t>
  </si>
  <si>
    <t>01859027797</t>
  </si>
  <si>
    <t>Md. Abul Kashem</t>
  </si>
  <si>
    <t>Md. Ibrahim Khalil</t>
  </si>
  <si>
    <t>Delivery Assistant-II</t>
  </si>
  <si>
    <t>MD SANTU ALI</t>
  </si>
  <si>
    <t>01847178952</t>
  </si>
  <si>
    <t>Abdus Sattar</t>
  </si>
  <si>
    <t>01643500021</t>
  </si>
  <si>
    <t>Junior Security Guard (Grade-3)</t>
  </si>
  <si>
    <t>Md. Ataher Ali</t>
  </si>
  <si>
    <t>Md. Matiar Rahman Talukder</t>
  </si>
  <si>
    <t>01728141854</t>
  </si>
  <si>
    <t>MD. SELIM SARKER</t>
  </si>
  <si>
    <t>Surat Ali Sheikh</t>
  </si>
  <si>
    <t>Nur Mohammad Ali</t>
  </si>
  <si>
    <t>Jalal Uddin</t>
  </si>
  <si>
    <t>Senior Delivery Assistant - II (Grade-2)</t>
  </si>
  <si>
    <t>Laptop Issue</t>
  </si>
  <si>
    <t>01847345770</t>
  </si>
  <si>
    <t>01847178896</t>
  </si>
  <si>
    <t>01812057001</t>
  </si>
  <si>
    <t>01890180777</t>
  </si>
  <si>
    <t>01756964524</t>
  </si>
  <si>
    <t>01735410562</t>
  </si>
  <si>
    <t>01737772121</t>
  </si>
  <si>
    <t>01814596749</t>
  </si>
  <si>
    <t>01793204304</t>
  </si>
  <si>
    <t>01317232309</t>
  </si>
  <si>
    <t>01758707264</t>
  </si>
  <si>
    <t>01872718478</t>
  </si>
  <si>
    <t>17256236589</t>
  </si>
  <si>
    <t>01623295820</t>
  </si>
  <si>
    <t>01608504111</t>
  </si>
  <si>
    <t>01813752060</t>
  </si>
  <si>
    <t>01845203375</t>
  </si>
  <si>
    <t>01772547071</t>
  </si>
  <si>
    <t>01776747065</t>
  </si>
  <si>
    <t>01713509237</t>
  </si>
  <si>
    <t>01313548810</t>
  </si>
  <si>
    <t>01790318575</t>
  </si>
  <si>
    <t>01614406612</t>
  </si>
  <si>
    <t>01717091025</t>
  </si>
  <si>
    <t>01847345986</t>
  </si>
  <si>
    <t>01847345904</t>
  </si>
  <si>
    <t>01917999665</t>
  </si>
  <si>
    <t>01830372802</t>
  </si>
  <si>
    <t>01847177710</t>
  </si>
  <si>
    <t>01847177701</t>
  </si>
  <si>
    <t>01836013501</t>
  </si>
  <si>
    <t>01847213094</t>
  </si>
  <si>
    <t>01847178514</t>
  </si>
  <si>
    <t>01785550800</t>
  </si>
  <si>
    <t>01722345130</t>
  </si>
  <si>
    <t>01770853312</t>
  </si>
  <si>
    <t>01914142826</t>
  </si>
  <si>
    <t>01847212577</t>
  </si>
  <si>
    <t>01987918746</t>
  </si>
  <si>
    <t>01826699143</t>
  </si>
  <si>
    <t>01778518747</t>
  </si>
  <si>
    <t>01716407870</t>
  </si>
  <si>
    <t>01751893181</t>
  </si>
  <si>
    <t>01728503103</t>
  </si>
  <si>
    <t>01715729103</t>
  </si>
  <si>
    <t>01716251606</t>
  </si>
  <si>
    <t>01719480951</t>
  </si>
  <si>
    <t xml:space="preserve">Mobile Number 1 - Invalid digit </t>
  </si>
  <si>
    <t>1320 TK need to be Deposited to PF Account (Talk to Salauddin Bhai)</t>
  </si>
  <si>
    <t xml:space="preserve"> MD. ZOBAYER HOSSAIN GORAPI</t>
  </si>
  <si>
    <t>Paid Before Chq Div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</si>
</sst>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mmmm\ dd\,\ yyyy"/>
    <numFmt numFmtId="166" formatCode="[$-409]d\-mmm\-yyyy;@"/>
    <numFmt numFmtId="167" formatCode="_(* #,##0.0_);_(* \(#,##0.0\);_(* &quot;-&quot;??_);_(@_)"/>
  </numFmts>
  <fonts count="20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>
      <alignment vertical="top"/>
    </xf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>
      <alignment vertical="top"/>
    </xf>
    <xf numFmtId="0" fontId="11" fillId="0" borderId="0"/>
    <xf numFmtId="0" fontId="9" fillId="0" borderId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10" fillId="0" borderId="0"/>
    <xf numFmtId="0" fontId="10" fillId="0" borderId="0">
      <alignment vertical="top"/>
    </xf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5">
    <xf numFmtId="0" fontId="0" fillId="0" borderId="0" xfId="0">
      <alignment vertical="top"/>
    </xf>
    <xf numFmtId="0" fontId="12" fillId="0" borderId="0" xfId="1" applyNumberFormat="1" applyFont="1" applyFill="1" applyBorder="1" applyAlignment="1">
      <alignment horizontal="left" vertical="top"/>
    </xf>
    <xf numFmtId="43" fontId="12" fillId="0" borderId="0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right"/>
    </xf>
    <xf numFmtId="43" fontId="12" fillId="0" borderId="0" xfId="1" applyFont="1" applyFill="1" applyBorder="1" applyAlignment="1">
      <alignment horizontal="right" vertical="center"/>
    </xf>
    <xf numFmtId="43" fontId="12" fillId="0" borderId="0" xfId="1" applyFont="1" applyFill="1" applyBorder="1" applyAlignment="1">
      <alignment vertical="top"/>
    </xf>
    <xf numFmtId="0" fontId="12" fillId="0" borderId="0" xfId="1" applyNumberFormat="1" applyFont="1" applyFill="1" applyBorder="1" applyAlignment="1">
      <alignment vertical="top"/>
    </xf>
    <xf numFmtId="43" fontId="12" fillId="0" borderId="1" xfId="1" applyFont="1" applyFill="1" applyBorder="1" applyAlignment="1">
      <alignment horizontal="right" vertical="center"/>
    </xf>
    <xf numFmtId="43" fontId="12" fillId="0" borderId="1" xfId="1" quotePrefix="1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left" vertical="center"/>
    </xf>
    <xf numFmtId="43" fontId="13" fillId="0" borderId="1" xfId="1" applyFont="1" applyFill="1" applyBorder="1" applyAlignment="1">
      <alignment horizontal="left" vertical="center"/>
    </xf>
    <xf numFmtId="0" fontId="12" fillId="0" borderId="0" xfId="0" applyFont="1" applyAlignment="1"/>
    <xf numFmtId="164" fontId="1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quotePrefix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center"/>
    </xf>
    <xf numFmtId="43" fontId="16" fillId="0" borderId="1" xfId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top"/>
    </xf>
    <xf numFmtId="165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right" vertical="top"/>
    </xf>
    <xf numFmtId="0" fontId="15" fillId="0" borderId="1" xfId="0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2" fillId="0" borderId="1" xfId="0" applyFont="1" applyBorder="1" applyAlignment="1"/>
    <xf numFmtId="0" fontId="14" fillId="0" borderId="1" xfId="0" applyFont="1" applyBorder="1" applyAlignment="1"/>
    <xf numFmtId="49" fontId="12" fillId="0" borderId="1" xfId="0" applyNumberFormat="1" applyFont="1" applyBorder="1" applyAlignment="1">
      <alignment horizontal="left" vertical="top"/>
    </xf>
    <xf numFmtId="43" fontId="12" fillId="0" borderId="1" xfId="1" applyFont="1" applyFill="1" applyBorder="1" applyAlignment="1">
      <alignment vertical="top"/>
    </xf>
    <xf numFmtId="43" fontId="12" fillId="0" borderId="1" xfId="1" applyFont="1" applyFill="1" applyBorder="1" applyAlignment="1">
      <alignment horizontal="right"/>
    </xf>
    <xf numFmtId="0" fontId="12" fillId="0" borderId="1" xfId="1" applyNumberFormat="1" applyFont="1" applyFill="1" applyBorder="1" applyAlignment="1">
      <alignment vertical="top"/>
    </xf>
    <xf numFmtId="0" fontId="12" fillId="0" borderId="1" xfId="1" applyNumberFormat="1" applyFont="1" applyFill="1" applyBorder="1" applyAlignment="1">
      <alignment horizontal="left" vertical="top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/>
    <xf numFmtId="1" fontId="14" fillId="0" borderId="1" xfId="0" applyNumberFormat="1" applyFont="1" applyBorder="1" applyAlignment="1">
      <alignment horizontal="left"/>
    </xf>
    <xf numFmtId="49" fontId="14" fillId="0" borderId="0" xfId="0" applyNumberFormat="1" applyFont="1" applyAlignment="1"/>
    <xf numFmtId="1" fontId="14" fillId="0" borderId="0" xfId="0" applyNumberFormat="1" applyFont="1" applyAlignment="1">
      <alignment horizontal="left"/>
    </xf>
    <xf numFmtId="0" fontId="14" fillId="0" borderId="0" xfId="0" applyFont="1" applyAlignment="1"/>
    <xf numFmtId="165" fontId="17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43" fontId="18" fillId="0" borderId="1" xfId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/>
    </xf>
    <xf numFmtId="0" fontId="16" fillId="0" borderId="1" xfId="1" applyNumberFormat="1" applyFont="1" applyFill="1" applyBorder="1" applyAlignment="1">
      <alignment horizontal="center" vertical="center" wrapText="1"/>
    </xf>
    <xf numFmtId="1" fontId="18" fillId="0" borderId="1" xfId="1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1" xfId="0" quotePrefix="1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15" fillId="0" borderId="1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left"/>
    </xf>
    <xf numFmtId="15" fontId="0" fillId="0" borderId="1" xfId="0" applyNumberFormat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" fontId="12" fillId="0" borderId="1" xfId="0" applyNumberFormat="1" applyFont="1" applyBorder="1" applyAlignment="1">
      <alignment horizontal="left" vertical="top"/>
    </xf>
    <xf numFmtId="166" fontId="12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1" fontId="12" fillId="0" borderId="1" xfId="0" quotePrefix="1" applyNumberFormat="1" applyFont="1" applyBorder="1" applyAlignment="1">
      <alignment horizontal="left"/>
    </xf>
    <xf numFmtId="166" fontId="18" fillId="0" borderId="1" xfId="1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left" vertical="center"/>
    </xf>
    <xf numFmtId="166" fontId="12" fillId="0" borderId="0" xfId="0" applyNumberFormat="1" applyFont="1" applyAlignment="1">
      <alignment horizontal="center"/>
    </xf>
    <xf numFmtId="15" fontId="1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right" vertical="top"/>
    </xf>
    <xf numFmtId="1" fontId="16" fillId="0" borderId="1" xfId="0" applyNumberFormat="1" applyFont="1" applyBorder="1" applyAlignment="1">
      <alignment horizontal="left" vertical="center" wrapText="1"/>
    </xf>
    <xf numFmtId="164" fontId="16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>
      <alignment vertical="top"/>
    </xf>
    <xf numFmtId="167" fontId="12" fillId="0" borderId="1" xfId="1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left" vertical="top"/>
    </xf>
    <xf numFmtId="1" fontId="12" fillId="2" borderId="1" xfId="0" applyNumberFormat="1" applyFont="1" applyFill="1" applyBorder="1" applyAlignment="1">
      <alignment horizontal="left" vertical="top"/>
    </xf>
    <xf numFmtId="1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right" vertical="top"/>
    </xf>
    <xf numFmtId="0" fontId="12" fillId="2" borderId="1" xfId="0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top"/>
    </xf>
    <xf numFmtId="43" fontId="12" fillId="2" borderId="1" xfId="1" applyFont="1" applyFill="1" applyBorder="1" applyAlignment="1">
      <alignment vertical="top"/>
    </xf>
    <xf numFmtId="43" fontId="12" fillId="2" borderId="1" xfId="1" applyFont="1" applyFill="1" applyBorder="1" applyAlignment="1">
      <alignment horizontal="right"/>
    </xf>
    <xf numFmtId="0" fontId="12" fillId="2" borderId="1" xfId="1" applyNumberFormat="1" applyFont="1" applyFill="1" applyBorder="1" applyAlignment="1">
      <alignment vertical="top"/>
    </xf>
    <xf numFmtId="0" fontId="12" fillId="2" borderId="1" xfId="1" applyNumberFormat="1" applyFont="1" applyFill="1" applyBorder="1" applyAlignment="1">
      <alignment horizontal="left" vertical="top"/>
    </xf>
    <xf numFmtId="43" fontId="12" fillId="2" borderId="1" xfId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center"/>
    </xf>
    <xf numFmtId="166" fontId="15" fillId="2" borderId="1" xfId="0" applyNumberFormat="1" applyFont="1" applyFill="1" applyBorder="1" applyAlignment="1">
      <alignment horizontal="center"/>
    </xf>
    <xf numFmtId="49" fontId="14" fillId="2" borderId="1" xfId="0" applyNumberFormat="1" applyFont="1" applyFill="1" applyBorder="1" applyAlignment="1"/>
    <xf numFmtId="1" fontId="14" fillId="2" borderId="1" xfId="0" applyNumberFormat="1" applyFont="1" applyFill="1" applyBorder="1" applyAlignment="1">
      <alignment horizontal="left"/>
    </xf>
    <xf numFmtId="0" fontId="14" fillId="2" borderId="1" xfId="0" applyFont="1" applyFill="1" applyBorder="1" applyAlignment="1"/>
    <xf numFmtId="0" fontId="12" fillId="2" borderId="0" xfId="0" applyFont="1" applyFill="1" applyAlignme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>
      <alignment vertical="top"/>
    </xf>
    <xf numFmtId="167" fontId="12" fillId="2" borderId="1" xfId="1" applyNumberFormat="1" applyFont="1" applyFill="1" applyBorder="1" applyAlignment="1">
      <alignment horizontal="right" vertical="center"/>
    </xf>
    <xf numFmtId="0" fontId="0" fillId="0" borderId="1" xfId="0" quotePrefix="1" applyBorder="1" applyAlignment="1"/>
    <xf numFmtId="0" fontId="0" fillId="0" borderId="1" xfId="0" applyBorder="1" applyAlignment="1"/>
    <xf numFmtId="0" fontId="0" fillId="2" borderId="1" xfId="0" quotePrefix="1" applyFill="1" applyBorder="1" applyAlignment="1"/>
    <xf numFmtId="0" fontId="12" fillId="2" borderId="1" xfId="0" applyFont="1" applyFill="1" applyBorder="1" applyAlignment="1">
      <alignment horizontal="left" vertical="top"/>
    </xf>
    <xf numFmtId="15" fontId="0" fillId="2" borderId="1" xfId="0" applyNumberFormat="1" applyFill="1" applyBorder="1" applyAlignment="1">
      <alignment horizontal="left" vertical="center"/>
    </xf>
  </cellXfs>
  <cellStyles count="29">
    <cellStyle name="Comma" xfId="1" builtinId="3"/>
    <cellStyle name="Comma 10" xfId="26" xr:uid="{3799028B-EE94-4EDF-BC6A-61101F62FDE6}"/>
    <cellStyle name="Comma 11" xfId="28" xr:uid="{F4355130-0E70-41E2-A950-7379D86F54DA}"/>
    <cellStyle name="Comma 2" xfId="7" xr:uid="{00000000-0005-0000-0000-000001000000}"/>
    <cellStyle name="Comma 3" xfId="2" xr:uid="{00000000-0005-0000-0000-000002000000}"/>
    <cellStyle name="Comma 4" xfId="6" xr:uid="{00000000-0005-0000-0000-000003000000}"/>
    <cellStyle name="Comma 5" xfId="16" xr:uid="{ABFEBFBA-62DB-477A-A903-B52F3342100E}"/>
    <cellStyle name="Comma 6" xfId="18" xr:uid="{E426196B-FBB0-4B54-9ABC-D9E91E2FE26D}"/>
    <cellStyle name="Comma 7" xfId="20" xr:uid="{BF1620D9-5972-44FF-92B7-0B31A40FCDAA}"/>
    <cellStyle name="Comma 8" xfId="22" xr:uid="{EA8B86C7-1A46-4EA8-8B25-41D5C0898609}"/>
    <cellStyle name="Comma 9" xfId="24" xr:uid="{E8E9FDCC-E806-4235-895A-F6526B2D6FB1}"/>
    <cellStyle name="Normal" xfId="0" builtinId="0"/>
    <cellStyle name="Normal 10" xfId="12" xr:uid="{00000000-0005-0000-0000-000005000000}"/>
    <cellStyle name="Normal 11" xfId="19" xr:uid="{A886BDF9-5B01-4BFA-BF93-176AAA00AC47}"/>
    <cellStyle name="Normal 12" xfId="21" xr:uid="{B38F4DF1-7934-451E-9A05-161D28980379}"/>
    <cellStyle name="Normal 13" xfId="23" xr:uid="{F3324781-0DC5-414D-97F3-8A1B62789699}"/>
    <cellStyle name="Normal 14" xfId="25" xr:uid="{1B0C495C-4673-447F-BACA-8C2F8C989F20}"/>
    <cellStyle name="Normal 15" xfId="27" xr:uid="{2DBD9EA4-779E-4010-8757-E22504BC8171}"/>
    <cellStyle name="Normal 16" xfId="14" xr:uid="{00000000-0005-0000-0000-000006000000}"/>
    <cellStyle name="Normal 17" xfId="13" xr:uid="{00000000-0005-0000-0000-000007000000}"/>
    <cellStyle name="Normal 2" xfId="3" xr:uid="{00000000-0005-0000-0000-000008000000}"/>
    <cellStyle name="Normal 2 2" xfId="4" xr:uid="{00000000-0005-0000-0000-000009000000}"/>
    <cellStyle name="Normal 3" xfId="8" xr:uid="{00000000-0005-0000-0000-00000A000000}"/>
    <cellStyle name="Normal 4" xfId="9" xr:uid="{00000000-0005-0000-0000-00000B000000}"/>
    <cellStyle name="Normal 5" xfId="10" xr:uid="{00000000-0005-0000-0000-00000C000000}"/>
    <cellStyle name="Normal 6" xfId="11" xr:uid="{00000000-0005-0000-0000-00000D000000}"/>
    <cellStyle name="Normal 7" xfId="5" xr:uid="{00000000-0005-0000-0000-00000E000000}"/>
    <cellStyle name="Normal 8" xfId="15" xr:uid="{E92567BD-965C-4368-B825-666774EBBB2B}"/>
    <cellStyle name="Normal 9" xfId="17" xr:uid="{DDFA9BAA-E35B-4AE4-87E6-8ADEC7F6FA8B}"/>
  </cellStyles>
  <dxfs count="29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93D0-E6B3-49AD-9040-FF8249F0CC6D}">
  <sheetPr codeName="Sheet1"/>
  <dimension ref="A1:AK70"/>
  <sheetViews>
    <sheetView tabSelected="1" zoomScale="72" zoomScaleNormal="80" workbookViewId="0">
      <selection activeCell="F16" sqref="F16"/>
    </sheetView>
  </sheetViews>
  <sheetFormatPr defaultColWidth="12.1796875" defaultRowHeight="13" x14ac:dyDescent="0.3"/>
  <cols>
    <col min="1" max="1" width="5.7265625" style="19" customWidth="1"/>
    <col min="2" max="2" width="11.26953125" style="20" customWidth="1"/>
    <col min="3" max="3" width="12.1796875" style="21"/>
    <col min="4" max="4" width="16" style="67" customWidth="1"/>
    <col min="5" max="5" width="16.453125" style="21" customWidth="1"/>
    <col min="6" max="6" width="38" style="22" bestFit="1" customWidth="1"/>
    <col min="7" max="7" width="25.54296875" style="62" customWidth="1"/>
    <col min="8" max="8" width="25.54296875" style="22" customWidth="1"/>
    <col min="9" max="9" width="34.1796875" style="22" bestFit="1" customWidth="1"/>
    <col min="10" max="10" width="34.1796875" style="22" customWidth="1"/>
    <col min="11" max="16" width="25.54296875" style="34" customWidth="1"/>
    <col min="17" max="17" width="25.54296875" style="27" customWidth="1"/>
    <col min="18" max="18" width="8.81640625" style="23" customWidth="1"/>
    <col min="19" max="19" width="6.26953125" style="24" customWidth="1"/>
    <col min="20" max="20" width="12.81640625" style="5" customWidth="1"/>
    <col min="21" max="21" width="7.81640625" style="21" customWidth="1"/>
    <col min="22" max="22" width="13.7265625" style="3" bestFit="1" customWidth="1"/>
    <col min="23" max="23" width="3.1796875" style="6" customWidth="1"/>
    <col min="24" max="24" width="11.54296875" style="3" bestFit="1" customWidth="1"/>
    <col min="25" max="25" width="7.7265625" style="1" customWidth="1"/>
    <col min="26" max="26" width="11.7265625" style="2" customWidth="1"/>
    <col min="27" max="27" width="3.7265625" style="2" customWidth="1"/>
    <col min="28" max="28" width="6" style="2" customWidth="1"/>
    <col min="29" max="29" width="13.7265625" style="4" bestFit="1" customWidth="1"/>
    <col min="30" max="30" width="9.7265625" style="25" customWidth="1"/>
    <col min="31" max="31" width="13.81640625" style="25" customWidth="1"/>
    <col min="32" max="32" width="13.54296875" style="25" customWidth="1"/>
    <col min="33" max="33" width="17" style="25" customWidth="1"/>
    <col min="34" max="34" width="9.81640625" style="46" customWidth="1"/>
    <col min="35" max="35" width="11.54296875" style="47" customWidth="1"/>
    <col min="36" max="36" width="10.7265625" style="48" customWidth="1"/>
    <col min="37" max="37" width="13.54296875" style="48" customWidth="1"/>
    <col min="38" max="16384" width="12.1796875" style="12"/>
  </cols>
  <sheetData>
    <row r="1" spans="1:37" s="58" customFormat="1" ht="40.5" customHeight="1" x14ac:dyDescent="0.25">
      <c r="A1" s="42" t="s">
        <v>348</v>
      </c>
      <c r="B1" s="52" t="s">
        <v>5</v>
      </c>
      <c r="C1" s="52" t="s">
        <v>8</v>
      </c>
      <c r="D1" s="79" t="s">
        <v>245</v>
      </c>
      <c r="E1" s="80" t="s">
        <v>840</v>
      </c>
      <c r="F1" s="42" t="s">
        <v>6</v>
      </c>
      <c r="G1" s="64" t="s">
        <v>242</v>
      </c>
      <c r="H1" s="51" t="s">
        <v>1321</v>
      </c>
      <c r="I1" s="51" t="s">
        <v>1322</v>
      </c>
      <c r="J1" s="51" t="s">
        <v>1316</v>
      </c>
      <c r="K1" s="53" t="s">
        <v>209</v>
      </c>
      <c r="L1" s="53" t="s">
        <v>210</v>
      </c>
      <c r="M1" s="53" t="s">
        <v>241</v>
      </c>
      <c r="N1" s="53" t="s">
        <v>154</v>
      </c>
      <c r="O1" s="53" t="s">
        <v>155</v>
      </c>
      <c r="P1" s="53" t="s">
        <v>243</v>
      </c>
      <c r="Q1" s="53" t="s">
        <v>244</v>
      </c>
      <c r="R1" s="42" t="s">
        <v>12</v>
      </c>
      <c r="S1" s="56" t="s">
        <v>4</v>
      </c>
      <c r="T1" s="26" t="s">
        <v>7</v>
      </c>
      <c r="U1" s="42" t="s">
        <v>4</v>
      </c>
      <c r="V1" s="26" t="s">
        <v>0</v>
      </c>
      <c r="W1" s="54" t="s">
        <v>4</v>
      </c>
      <c r="X1" s="26" t="s">
        <v>0</v>
      </c>
      <c r="Y1" s="54" t="s">
        <v>4</v>
      </c>
      <c r="Z1" s="26" t="s">
        <v>0</v>
      </c>
      <c r="AA1" s="54" t="s">
        <v>4</v>
      </c>
      <c r="AB1" s="26" t="s">
        <v>0</v>
      </c>
      <c r="AC1" s="26" t="s">
        <v>2</v>
      </c>
      <c r="AD1" s="26" t="s">
        <v>3</v>
      </c>
      <c r="AE1" s="26" t="s">
        <v>208</v>
      </c>
      <c r="AF1" s="26" t="s">
        <v>354</v>
      </c>
      <c r="AG1" s="51" t="s">
        <v>339</v>
      </c>
      <c r="AH1" s="57" t="s">
        <v>201</v>
      </c>
      <c r="AI1" s="55" t="s">
        <v>1323</v>
      </c>
      <c r="AJ1" s="51" t="s">
        <v>1322</v>
      </c>
      <c r="AK1" s="51" t="s">
        <v>202</v>
      </c>
    </row>
    <row r="2" spans="1:37" x14ac:dyDescent="0.3">
      <c r="A2" s="31">
        <v>7</v>
      </c>
      <c r="B2" s="13">
        <v>46040</v>
      </c>
      <c r="C2" s="30">
        <v>10017721</v>
      </c>
      <c r="D2" s="30" t="s">
        <v>538</v>
      </c>
      <c r="E2" s="30" t="s">
        <v>538</v>
      </c>
      <c r="F2" s="15" t="s">
        <v>485</v>
      </c>
      <c r="G2" s="63" t="s">
        <v>916</v>
      </c>
      <c r="H2" s="15" t="s">
        <v>246</v>
      </c>
      <c r="I2" s="63" t="s">
        <v>916</v>
      </c>
      <c r="J2" s="15" t="e">
        <v>#N/A</v>
      </c>
      <c r="K2" s="29">
        <v>44835</v>
      </c>
      <c r="L2" s="29">
        <v>45638</v>
      </c>
      <c r="M2" s="29" t="s">
        <v>216</v>
      </c>
      <c r="N2" s="29" t="s">
        <v>97</v>
      </c>
      <c r="O2" s="29" t="s">
        <v>23</v>
      </c>
      <c r="P2" s="29" t="s">
        <v>217</v>
      </c>
      <c r="Q2" s="32"/>
      <c r="R2" s="14"/>
      <c r="S2" s="37"/>
      <c r="T2" s="38"/>
      <c r="U2" s="30"/>
      <c r="V2" s="39"/>
      <c r="W2" s="40"/>
      <c r="X2" s="39"/>
      <c r="Y2" s="41"/>
      <c r="Z2" s="9"/>
      <c r="AA2" s="9"/>
      <c r="AB2" s="9"/>
      <c r="AC2" s="7">
        <v>7209</v>
      </c>
      <c r="AD2" s="33"/>
      <c r="AE2" s="33"/>
      <c r="AF2" s="33"/>
      <c r="AG2" s="50">
        <f>B2+180</f>
        <v>46220</v>
      </c>
      <c r="AH2" s="44"/>
      <c r="AI2" s="45"/>
      <c r="AJ2" s="36"/>
      <c r="AK2" s="36"/>
    </row>
    <row r="3" spans="1:37" x14ac:dyDescent="0.3">
      <c r="A3" s="31">
        <v>15</v>
      </c>
      <c r="B3" s="13">
        <v>46040</v>
      </c>
      <c r="C3" s="30">
        <v>10020173</v>
      </c>
      <c r="D3" s="30" t="s">
        <v>1829</v>
      </c>
      <c r="E3" s="30" t="s">
        <v>1829</v>
      </c>
      <c r="F3" s="15" t="s">
        <v>1324</v>
      </c>
      <c r="G3" s="63" t="s">
        <v>706</v>
      </c>
      <c r="H3" s="15" t="s">
        <v>252</v>
      </c>
      <c r="I3" s="15"/>
      <c r="J3" s="15" t="e">
        <v>#N/A</v>
      </c>
      <c r="K3" s="29">
        <v>45292</v>
      </c>
      <c r="L3" s="29">
        <v>45689</v>
      </c>
      <c r="M3" s="29" t="s">
        <v>211</v>
      </c>
      <c r="N3" s="29" t="s">
        <v>117</v>
      </c>
      <c r="O3" s="29" t="s">
        <v>23</v>
      </c>
      <c r="P3" s="29" t="s">
        <v>212</v>
      </c>
      <c r="Q3" s="32"/>
      <c r="R3" s="14"/>
      <c r="S3" s="37"/>
      <c r="T3" s="38"/>
      <c r="U3" s="30"/>
      <c r="V3" s="39"/>
      <c r="W3" s="40"/>
      <c r="X3" s="39"/>
      <c r="Y3" s="41"/>
      <c r="Z3" s="9"/>
      <c r="AA3" s="9"/>
      <c r="AB3" s="9"/>
      <c r="AC3" s="7">
        <v>26281</v>
      </c>
      <c r="AD3" s="33"/>
      <c r="AE3" s="33"/>
      <c r="AF3" s="33"/>
      <c r="AG3" s="50">
        <f>B3+180</f>
        <v>46220</v>
      </c>
      <c r="AH3" s="44"/>
      <c r="AI3" s="45"/>
      <c r="AJ3" s="36"/>
      <c r="AK3" s="36"/>
    </row>
    <row r="4" spans="1:37" x14ac:dyDescent="0.3">
      <c r="A4" s="31">
        <v>22</v>
      </c>
      <c r="B4" s="13">
        <v>46040</v>
      </c>
      <c r="C4" s="30">
        <v>10020573</v>
      </c>
      <c r="D4" s="30" t="s">
        <v>1830</v>
      </c>
      <c r="E4" s="30" t="s">
        <v>1830</v>
      </c>
      <c r="F4" s="15" t="s">
        <v>394</v>
      </c>
      <c r="G4" s="63" t="s">
        <v>707</v>
      </c>
      <c r="H4" s="15" t="s">
        <v>252</v>
      </c>
      <c r="I4" s="15"/>
      <c r="J4" s="15" t="e">
        <v>#N/A</v>
      </c>
      <c r="K4" s="29">
        <v>45337</v>
      </c>
      <c r="L4" s="29">
        <v>45641</v>
      </c>
      <c r="M4" s="29" t="s">
        <v>211</v>
      </c>
      <c r="N4" s="29" t="s">
        <v>136</v>
      </c>
      <c r="O4" s="29" t="s">
        <v>16</v>
      </c>
      <c r="P4" s="29" t="s">
        <v>212</v>
      </c>
      <c r="Q4" s="32"/>
      <c r="R4" s="14"/>
      <c r="S4" s="37"/>
      <c r="T4" s="38"/>
      <c r="U4" s="30"/>
      <c r="V4" s="39"/>
      <c r="W4" s="40"/>
      <c r="X4" s="39"/>
      <c r="Y4" s="41"/>
      <c r="Z4" s="9"/>
      <c r="AA4" s="9"/>
      <c r="AB4" s="9"/>
      <c r="AC4" s="7">
        <v>25355</v>
      </c>
      <c r="AD4" s="33"/>
      <c r="AE4" s="33"/>
      <c r="AF4" s="33"/>
      <c r="AG4" s="50">
        <f t="shared" ref="AG4:AG67" si="0">B4+180</f>
        <v>46220</v>
      </c>
      <c r="AH4" s="44"/>
      <c r="AI4" s="45"/>
      <c r="AJ4" s="36"/>
      <c r="AK4" s="36"/>
    </row>
    <row r="5" spans="1:37" x14ac:dyDescent="0.3">
      <c r="A5" s="31">
        <v>36</v>
      </c>
      <c r="B5" s="13">
        <v>46040</v>
      </c>
      <c r="C5" s="30">
        <v>10021736</v>
      </c>
      <c r="D5" s="30" t="s">
        <v>1831</v>
      </c>
      <c r="E5" s="30" t="s">
        <v>1831</v>
      </c>
      <c r="F5" s="15" t="s">
        <v>37</v>
      </c>
      <c r="G5" s="63" t="s">
        <v>708</v>
      </c>
      <c r="H5" s="15" t="s">
        <v>252</v>
      </c>
      <c r="I5" s="15"/>
      <c r="J5" s="15" t="e">
        <v>#N/A</v>
      </c>
      <c r="K5" s="29">
        <v>45511</v>
      </c>
      <c r="L5" s="29">
        <v>45843</v>
      </c>
      <c r="M5" s="29" t="s">
        <v>220</v>
      </c>
      <c r="N5" s="29" t="s">
        <v>291</v>
      </c>
      <c r="O5" s="29" t="s">
        <v>17</v>
      </c>
      <c r="P5" s="29" t="s">
        <v>221</v>
      </c>
      <c r="Q5" s="32"/>
      <c r="R5" s="14"/>
      <c r="S5" s="37"/>
      <c r="T5" s="38"/>
      <c r="U5" s="30"/>
      <c r="V5" s="39"/>
      <c r="W5" s="40"/>
      <c r="X5" s="39"/>
      <c r="Y5" s="41"/>
      <c r="Z5" s="9"/>
      <c r="AA5" s="9"/>
      <c r="AB5" s="9"/>
      <c r="AC5" s="7">
        <v>3721</v>
      </c>
      <c r="AD5" s="33"/>
      <c r="AE5" s="33"/>
      <c r="AF5" s="33"/>
      <c r="AG5" s="50">
        <f t="shared" si="0"/>
        <v>46220</v>
      </c>
      <c r="AH5" s="44"/>
      <c r="AI5" s="45"/>
      <c r="AJ5" s="36"/>
      <c r="AK5" s="36"/>
    </row>
    <row r="6" spans="1:37" x14ac:dyDescent="0.3">
      <c r="A6" s="31">
        <v>49</v>
      </c>
      <c r="B6" s="13">
        <v>46040</v>
      </c>
      <c r="C6" s="30">
        <v>10022422</v>
      </c>
      <c r="D6" s="30" t="s">
        <v>1832</v>
      </c>
      <c r="E6" s="30" t="s">
        <v>1832</v>
      </c>
      <c r="F6" s="15" t="s">
        <v>429</v>
      </c>
      <c r="G6" s="63" t="s">
        <v>710</v>
      </c>
      <c r="H6" s="15" t="s">
        <v>252</v>
      </c>
      <c r="I6" s="15"/>
      <c r="J6" s="15" t="e">
        <v>#N/A</v>
      </c>
      <c r="K6" s="29">
        <v>45627</v>
      </c>
      <c r="L6" s="29">
        <v>45748</v>
      </c>
      <c r="M6" s="29" t="s">
        <v>211</v>
      </c>
      <c r="N6" s="29" t="s">
        <v>191</v>
      </c>
      <c r="O6" s="29" t="s">
        <v>23</v>
      </c>
      <c r="P6" s="29" t="s">
        <v>212</v>
      </c>
      <c r="Q6" s="32"/>
      <c r="R6" s="14"/>
      <c r="S6" s="37"/>
      <c r="T6" s="38"/>
      <c r="U6" s="30"/>
      <c r="V6" s="39"/>
      <c r="W6" s="40"/>
      <c r="X6" s="39"/>
      <c r="Y6" s="41"/>
      <c r="Z6" s="9"/>
      <c r="AA6" s="9"/>
      <c r="AB6" s="9"/>
      <c r="AC6" s="7">
        <v>9236</v>
      </c>
      <c r="AD6" s="33"/>
      <c r="AE6" s="33"/>
      <c r="AF6" s="33"/>
      <c r="AG6" s="50">
        <f t="shared" si="0"/>
        <v>46220</v>
      </c>
      <c r="AH6" s="44"/>
      <c r="AI6" s="45"/>
      <c r="AJ6" s="36"/>
      <c r="AK6" s="36"/>
    </row>
    <row r="7" spans="1:37" x14ac:dyDescent="0.3">
      <c r="A7" s="31">
        <v>51</v>
      </c>
      <c r="B7" s="13">
        <v>46040</v>
      </c>
      <c r="C7" s="30">
        <v>10022542</v>
      </c>
      <c r="D7" s="30" t="s">
        <v>1833</v>
      </c>
      <c r="E7" s="30" t="s">
        <v>1833</v>
      </c>
      <c r="F7" s="15" t="s">
        <v>1325</v>
      </c>
      <c r="G7" s="63" t="s">
        <v>711</v>
      </c>
      <c r="H7" s="15" t="s">
        <v>252</v>
      </c>
      <c r="I7" s="15"/>
      <c r="J7" s="15" t="e">
        <v>#N/A</v>
      </c>
      <c r="K7" s="29">
        <v>45636</v>
      </c>
      <c r="L7" s="29">
        <v>45777</v>
      </c>
      <c r="M7" s="29" t="s">
        <v>211</v>
      </c>
      <c r="N7" s="29" t="s">
        <v>117</v>
      </c>
      <c r="O7" s="29" t="s">
        <v>23</v>
      </c>
      <c r="P7" s="29" t="s">
        <v>212</v>
      </c>
      <c r="Q7" s="32"/>
      <c r="R7" s="14"/>
      <c r="S7" s="37"/>
      <c r="T7" s="38"/>
      <c r="U7" s="30"/>
      <c r="V7" s="39"/>
      <c r="W7" s="40"/>
      <c r="X7" s="39"/>
      <c r="Y7" s="41"/>
      <c r="Z7" s="9"/>
      <c r="AA7" s="9"/>
      <c r="AB7" s="9"/>
      <c r="AC7" s="7">
        <v>5448</v>
      </c>
      <c r="AD7" s="33"/>
      <c r="AE7" s="33"/>
      <c r="AF7" s="33"/>
      <c r="AG7" s="50">
        <f t="shared" si="0"/>
        <v>46220</v>
      </c>
      <c r="AH7" s="44"/>
      <c r="AI7" s="45"/>
      <c r="AJ7" s="36"/>
      <c r="AK7" s="36"/>
    </row>
    <row r="8" spans="1:37" x14ac:dyDescent="0.3">
      <c r="A8" s="31">
        <v>55</v>
      </c>
      <c r="B8" s="13">
        <v>46040</v>
      </c>
      <c r="C8" s="30">
        <v>10022690</v>
      </c>
      <c r="D8" s="30" t="s">
        <v>1834</v>
      </c>
      <c r="E8" s="30" t="s">
        <v>1834</v>
      </c>
      <c r="F8" s="15" t="s">
        <v>418</v>
      </c>
      <c r="G8" s="65" t="s">
        <v>713</v>
      </c>
      <c r="H8" s="15" t="s">
        <v>252</v>
      </c>
      <c r="I8" s="15"/>
      <c r="J8" s="15" t="e">
        <v>#N/A</v>
      </c>
      <c r="K8" s="29">
        <v>45651</v>
      </c>
      <c r="L8" s="29">
        <v>45873</v>
      </c>
      <c r="M8" s="29" t="s">
        <v>211</v>
      </c>
      <c r="N8" s="29" t="s">
        <v>346</v>
      </c>
      <c r="O8" s="29" t="s">
        <v>25</v>
      </c>
      <c r="P8" s="29" t="s">
        <v>212</v>
      </c>
      <c r="Q8" s="32"/>
      <c r="R8" s="14"/>
      <c r="S8" s="37"/>
      <c r="T8" s="38"/>
      <c r="U8" s="30"/>
      <c r="V8" s="39"/>
      <c r="W8" s="40"/>
      <c r="X8" s="39"/>
      <c r="Y8" s="41"/>
      <c r="Z8" s="9"/>
      <c r="AA8" s="9"/>
      <c r="AB8" s="9"/>
      <c r="AC8" s="7">
        <v>12151</v>
      </c>
      <c r="AD8" s="33"/>
      <c r="AE8" s="33"/>
      <c r="AF8" s="33"/>
      <c r="AG8" s="50">
        <f t="shared" si="0"/>
        <v>46220</v>
      </c>
      <c r="AH8" s="44"/>
      <c r="AI8" s="45"/>
      <c r="AJ8" s="36"/>
      <c r="AK8" s="36"/>
    </row>
    <row r="9" spans="1:37" x14ac:dyDescent="0.3">
      <c r="A9" s="31">
        <v>65</v>
      </c>
      <c r="B9" s="13">
        <v>46040</v>
      </c>
      <c r="C9" s="30">
        <v>10023290</v>
      </c>
      <c r="D9" s="30" t="s">
        <v>1835</v>
      </c>
      <c r="E9" s="30" t="s">
        <v>1835</v>
      </c>
      <c r="F9" s="15" t="s">
        <v>467</v>
      </c>
      <c r="G9" s="63" t="s">
        <v>712</v>
      </c>
      <c r="H9" s="15" t="s">
        <v>252</v>
      </c>
      <c r="I9" s="15"/>
      <c r="J9" s="15" t="e">
        <v>#N/A</v>
      </c>
      <c r="K9" s="29">
        <v>45697</v>
      </c>
      <c r="L9" s="29">
        <v>45731</v>
      </c>
      <c r="M9" s="29" t="s">
        <v>219</v>
      </c>
      <c r="N9" s="29" t="s">
        <v>136</v>
      </c>
      <c r="O9" s="29" t="s">
        <v>16</v>
      </c>
      <c r="P9" s="29" t="s">
        <v>214</v>
      </c>
      <c r="Q9" s="32"/>
      <c r="R9" s="14"/>
      <c r="S9" s="37"/>
      <c r="T9" s="38"/>
      <c r="U9" s="30"/>
      <c r="V9" s="39"/>
      <c r="W9" s="40"/>
      <c r="X9" s="39"/>
      <c r="Y9" s="41"/>
      <c r="Z9" s="9"/>
      <c r="AA9" s="9"/>
      <c r="AB9" s="9"/>
      <c r="AC9" s="7">
        <v>14106</v>
      </c>
      <c r="AD9" s="33"/>
      <c r="AE9" s="33"/>
      <c r="AF9" s="33"/>
      <c r="AG9" s="50">
        <f t="shared" si="0"/>
        <v>46220</v>
      </c>
      <c r="AH9" s="44"/>
      <c r="AI9" s="45"/>
      <c r="AJ9" s="36"/>
      <c r="AK9" s="36"/>
    </row>
    <row r="10" spans="1:37" x14ac:dyDescent="0.3">
      <c r="A10" s="31">
        <v>72</v>
      </c>
      <c r="B10" s="13">
        <v>46040</v>
      </c>
      <c r="C10" s="30">
        <v>10023584</v>
      </c>
      <c r="D10" s="30" t="s">
        <v>1836</v>
      </c>
      <c r="E10" s="30" t="s">
        <v>1836</v>
      </c>
      <c r="F10" s="15" t="s">
        <v>442</v>
      </c>
      <c r="G10" s="14" t="s">
        <v>841</v>
      </c>
      <c r="H10" s="15" t="s">
        <v>252</v>
      </c>
      <c r="I10" s="15"/>
      <c r="J10" s="15" t="e">
        <v>#N/A</v>
      </c>
      <c r="K10" s="29">
        <v>45771</v>
      </c>
      <c r="L10" s="29">
        <v>45839</v>
      </c>
      <c r="M10" s="29" t="s">
        <v>211</v>
      </c>
      <c r="N10" s="29" t="s">
        <v>643</v>
      </c>
      <c r="O10" s="29" t="s">
        <v>23</v>
      </c>
      <c r="P10" s="29" t="s">
        <v>212</v>
      </c>
      <c r="Q10" s="32"/>
      <c r="R10" s="14"/>
      <c r="S10" s="37"/>
      <c r="T10" s="38"/>
      <c r="U10" s="30"/>
      <c r="V10" s="39"/>
      <c r="W10" s="40"/>
      <c r="X10" s="39"/>
      <c r="Y10" s="41"/>
      <c r="Z10" s="9"/>
      <c r="AA10" s="9"/>
      <c r="AB10" s="9"/>
      <c r="AC10" s="7">
        <v>5940</v>
      </c>
      <c r="AD10" s="33"/>
      <c r="AE10" s="33"/>
      <c r="AF10" s="33"/>
      <c r="AG10" s="50">
        <f t="shared" si="0"/>
        <v>46220</v>
      </c>
      <c r="AH10" s="44"/>
      <c r="AI10" s="45"/>
      <c r="AJ10" s="36"/>
      <c r="AK10" s="36"/>
    </row>
    <row r="11" spans="1:37" x14ac:dyDescent="0.3">
      <c r="A11" s="31">
        <v>73</v>
      </c>
      <c r="B11" s="13">
        <v>46040</v>
      </c>
      <c r="C11" s="30">
        <v>10023885</v>
      </c>
      <c r="D11" s="30" t="s">
        <v>1837</v>
      </c>
      <c r="E11" s="30" t="s">
        <v>1837</v>
      </c>
      <c r="F11" s="15" t="s">
        <v>422</v>
      </c>
      <c r="G11" s="14" t="s">
        <v>842</v>
      </c>
      <c r="H11" s="15" t="s">
        <v>252</v>
      </c>
      <c r="I11" s="15"/>
      <c r="J11" s="15" t="e">
        <v>#N/A</v>
      </c>
      <c r="K11" s="29">
        <v>45819</v>
      </c>
      <c r="L11" s="29">
        <v>45870</v>
      </c>
      <c r="M11" s="29" t="s">
        <v>211</v>
      </c>
      <c r="N11" s="29" t="s">
        <v>117</v>
      </c>
      <c r="O11" s="29" t="s">
        <v>23</v>
      </c>
      <c r="P11" s="29" t="s">
        <v>212</v>
      </c>
      <c r="Q11" s="32"/>
      <c r="R11" s="14"/>
      <c r="S11" s="37"/>
      <c r="T11" s="38"/>
      <c r="U11" s="30"/>
      <c r="V11" s="39"/>
      <c r="W11" s="40"/>
      <c r="X11" s="39"/>
      <c r="Y11" s="41"/>
      <c r="Z11" s="9"/>
      <c r="AA11" s="9"/>
      <c r="AB11" s="9"/>
      <c r="AC11" s="7">
        <v>10721</v>
      </c>
      <c r="AD11" s="33"/>
      <c r="AE11" s="33"/>
      <c r="AF11" s="33"/>
      <c r="AG11" s="50">
        <f t="shared" si="0"/>
        <v>46220</v>
      </c>
      <c r="AH11" s="44"/>
      <c r="AI11" s="45"/>
      <c r="AJ11" s="36"/>
      <c r="AK11" s="36"/>
    </row>
    <row r="12" spans="1:37" x14ac:dyDescent="0.3">
      <c r="A12" s="31">
        <v>78</v>
      </c>
      <c r="B12" s="13">
        <v>46055</v>
      </c>
      <c r="C12" s="30">
        <v>30017817</v>
      </c>
      <c r="D12" s="30" t="s">
        <v>1838</v>
      </c>
      <c r="E12" s="30" t="s">
        <v>1838</v>
      </c>
      <c r="F12" s="15" t="s">
        <v>714</v>
      </c>
      <c r="G12" s="14" t="s">
        <v>843</v>
      </c>
      <c r="H12" s="15" t="s">
        <v>252</v>
      </c>
      <c r="I12" s="15"/>
      <c r="J12" s="15" t="e">
        <v>#N/A</v>
      </c>
      <c r="K12" s="29">
        <v>45764</v>
      </c>
      <c r="L12" s="29">
        <v>45987</v>
      </c>
      <c r="M12" s="29" t="s">
        <v>297</v>
      </c>
      <c r="N12" s="29" t="s">
        <v>661</v>
      </c>
      <c r="O12" s="29" t="s">
        <v>27</v>
      </c>
      <c r="P12" s="29" t="s">
        <v>227</v>
      </c>
      <c r="Q12" s="32"/>
      <c r="R12" s="14"/>
      <c r="S12" s="37"/>
      <c r="T12" s="38"/>
      <c r="U12" s="30"/>
      <c r="V12" s="39"/>
      <c r="W12" s="40"/>
      <c r="X12" s="39"/>
      <c r="Y12" s="41"/>
      <c r="Z12" s="9"/>
      <c r="AA12" s="9"/>
      <c r="AB12" s="9"/>
      <c r="AC12" s="7">
        <v>14400</v>
      </c>
      <c r="AD12" s="33"/>
      <c r="AE12" s="33"/>
      <c r="AF12" s="33"/>
      <c r="AG12" s="50">
        <f t="shared" si="0"/>
        <v>46235</v>
      </c>
      <c r="AH12" s="44"/>
      <c r="AI12" s="45"/>
      <c r="AJ12" s="36"/>
      <c r="AK12" s="36"/>
    </row>
    <row r="13" spans="1:37" x14ac:dyDescent="0.3">
      <c r="A13" s="31">
        <v>81</v>
      </c>
      <c r="B13" s="13">
        <v>46055</v>
      </c>
      <c r="C13" s="30">
        <v>10019034</v>
      </c>
      <c r="D13" s="30" t="s">
        <v>774</v>
      </c>
      <c r="E13" s="30" t="s">
        <v>774</v>
      </c>
      <c r="F13" s="15" t="s">
        <v>715</v>
      </c>
      <c r="G13" s="14" t="s">
        <v>844</v>
      </c>
      <c r="H13" s="15" t="s">
        <v>252</v>
      </c>
      <c r="I13" s="15"/>
      <c r="J13" s="15" t="e">
        <v>#N/A</v>
      </c>
      <c r="K13" s="29">
        <v>45089</v>
      </c>
      <c r="L13" s="29">
        <v>45743</v>
      </c>
      <c r="M13" s="29" t="s">
        <v>211</v>
      </c>
      <c r="N13" s="29" t="s">
        <v>177</v>
      </c>
      <c r="O13" s="29" t="s">
        <v>24</v>
      </c>
      <c r="P13" s="29" t="s">
        <v>212</v>
      </c>
      <c r="Q13" s="32"/>
      <c r="R13" s="14"/>
      <c r="S13" s="37"/>
      <c r="T13" s="38"/>
      <c r="U13" s="30"/>
      <c r="V13" s="39"/>
      <c r="W13" s="40"/>
      <c r="X13" s="39"/>
      <c r="Y13" s="41"/>
      <c r="Z13" s="9"/>
      <c r="AA13" s="9"/>
      <c r="AB13" s="9"/>
      <c r="AC13" s="7">
        <v>71177</v>
      </c>
      <c r="AD13" s="33"/>
      <c r="AE13" s="33"/>
      <c r="AF13" s="33"/>
      <c r="AG13" s="50">
        <f t="shared" si="0"/>
        <v>46235</v>
      </c>
      <c r="AH13" s="44"/>
      <c r="AI13" s="45"/>
      <c r="AJ13" s="36"/>
      <c r="AK13" s="36"/>
    </row>
    <row r="14" spans="1:37" x14ac:dyDescent="0.3">
      <c r="A14" s="31">
        <v>114</v>
      </c>
      <c r="B14" s="13">
        <v>46055</v>
      </c>
      <c r="C14" s="30">
        <v>10022426</v>
      </c>
      <c r="D14" s="30" t="s">
        <v>1839</v>
      </c>
      <c r="E14" s="30" t="s">
        <v>1839</v>
      </c>
      <c r="F14" s="15" t="s">
        <v>742</v>
      </c>
      <c r="G14" s="14" t="s">
        <v>845</v>
      </c>
      <c r="H14" s="15" t="s">
        <v>252</v>
      </c>
      <c r="I14" s="15"/>
      <c r="J14" s="15" t="e">
        <v>#N/A</v>
      </c>
      <c r="K14" s="29">
        <v>45627</v>
      </c>
      <c r="L14" s="29">
        <v>45904</v>
      </c>
      <c r="M14" s="29" t="s">
        <v>220</v>
      </c>
      <c r="N14" s="29" t="s">
        <v>94</v>
      </c>
      <c r="O14" s="29" t="s">
        <v>17</v>
      </c>
      <c r="P14" s="29" t="s">
        <v>221</v>
      </c>
      <c r="Q14" s="32"/>
      <c r="R14" s="14"/>
      <c r="S14" s="37"/>
      <c r="T14" s="38"/>
      <c r="U14" s="30"/>
      <c r="V14" s="39"/>
      <c r="W14" s="40"/>
      <c r="X14" s="39"/>
      <c r="Y14" s="41"/>
      <c r="Z14" s="9"/>
      <c r="AA14" s="9"/>
      <c r="AB14" s="9"/>
      <c r="AC14" s="7">
        <v>4423</v>
      </c>
      <c r="AD14" s="33"/>
      <c r="AE14" s="33"/>
      <c r="AF14" s="33"/>
      <c r="AG14" s="50">
        <f t="shared" si="0"/>
        <v>46235</v>
      </c>
      <c r="AH14" s="44"/>
      <c r="AI14" s="45"/>
      <c r="AJ14" s="36"/>
      <c r="AK14" s="36"/>
    </row>
    <row r="15" spans="1:37" x14ac:dyDescent="0.3">
      <c r="A15" s="31">
        <v>115</v>
      </c>
      <c r="B15" s="13">
        <v>46055</v>
      </c>
      <c r="C15" s="30">
        <v>10022379</v>
      </c>
      <c r="D15" s="30" t="s">
        <v>1840</v>
      </c>
      <c r="E15" s="30" t="s">
        <v>1840</v>
      </c>
      <c r="F15" s="15" t="s">
        <v>664</v>
      </c>
      <c r="G15" s="63" t="s">
        <v>916</v>
      </c>
      <c r="H15" s="15" t="s">
        <v>252</v>
      </c>
      <c r="I15" s="15" t="s">
        <v>915</v>
      </c>
      <c r="J15" s="15" t="e">
        <v>#N/A</v>
      </c>
      <c r="K15" s="29">
        <v>45614</v>
      </c>
      <c r="L15" s="29">
        <v>45962</v>
      </c>
      <c r="M15" s="29" t="s">
        <v>220</v>
      </c>
      <c r="N15" s="29" t="s">
        <v>128</v>
      </c>
      <c r="O15" s="29" t="s">
        <v>17</v>
      </c>
      <c r="P15" s="29" t="s">
        <v>221</v>
      </c>
      <c r="Q15" s="32"/>
      <c r="R15" s="14"/>
      <c r="S15" s="37"/>
      <c r="T15" s="38"/>
      <c r="U15" s="30"/>
      <c r="V15" s="39"/>
      <c r="W15" s="40"/>
      <c r="X15" s="39"/>
      <c r="Y15" s="41"/>
      <c r="Z15" s="9"/>
      <c r="AA15" s="9"/>
      <c r="AB15" s="9"/>
      <c r="AC15" s="7">
        <v>2938</v>
      </c>
      <c r="AD15" s="33"/>
      <c r="AE15" s="33"/>
      <c r="AF15" s="33"/>
      <c r="AG15" s="50">
        <f t="shared" si="0"/>
        <v>46235</v>
      </c>
      <c r="AH15" s="44"/>
      <c r="AI15" s="45"/>
      <c r="AJ15" s="36"/>
      <c r="AK15" s="36"/>
    </row>
    <row r="16" spans="1:37" x14ac:dyDescent="0.3">
      <c r="A16" s="31">
        <v>118</v>
      </c>
      <c r="B16" s="13">
        <v>46055</v>
      </c>
      <c r="C16" s="30">
        <v>11308</v>
      </c>
      <c r="D16" s="30" t="s">
        <v>809</v>
      </c>
      <c r="E16" s="30" t="s">
        <v>809</v>
      </c>
      <c r="F16" s="15" t="s">
        <v>744</v>
      </c>
      <c r="G16" s="63" t="s">
        <v>916</v>
      </c>
      <c r="H16" s="15" t="s">
        <v>248</v>
      </c>
      <c r="I16" s="63" t="s">
        <v>916</v>
      </c>
      <c r="J16" s="15" t="e">
        <v>#N/A</v>
      </c>
      <c r="K16" s="29">
        <v>42917</v>
      </c>
      <c r="L16" s="29">
        <v>45986</v>
      </c>
      <c r="M16" s="29" t="s">
        <v>297</v>
      </c>
      <c r="N16" s="29" t="s">
        <v>80</v>
      </c>
      <c r="O16" s="29" t="s">
        <v>27</v>
      </c>
      <c r="P16" s="29" t="s">
        <v>221</v>
      </c>
      <c r="Q16" s="32"/>
      <c r="R16" s="14"/>
      <c r="S16" s="37"/>
      <c r="T16" s="38"/>
      <c r="U16" s="30"/>
      <c r="V16" s="39"/>
      <c r="W16" s="40"/>
      <c r="X16" s="39"/>
      <c r="Y16" s="41"/>
      <c r="Z16" s="9"/>
      <c r="AA16" s="9"/>
      <c r="AB16" s="9"/>
      <c r="AC16" s="7">
        <v>8243</v>
      </c>
      <c r="AD16" s="33"/>
      <c r="AE16" s="33"/>
      <c r="AF16" s="33"/>
      <c r="AG16" s="50">
        <f t="shared" si="0"/>
        <v>46235</v>
      </c>
      <c r="AH16" s="44"/>
      <c r="AI16" s="45"/>
      <c r="AJ16" s="36"/>
      <c r="AK16" s="36"/>
    </row>
    <row r="17" spans="1:37" x14ac:dyDescent="0.3">
      <c r="A17" s="31"/>
      <c r="B17" s="13">
        <v>46084</v>
      </c>
      <c r="C17" s="30">
        <v>10022807</v>
      </c>
      <c r="D17" s="30" t="s">
        <v>1841</v>
      </c>
      <c r="E17" s="30" t="s">
        <v>1842</v>
      </c>
      <c r="F17" s="15" t="s">
        <v>887</v>
      </c>
      <c r="G17" s="15" t="s">
        <v>903</v>
      </c>
      <c r="H17" s="15" t="s">
        <v>252</v>
      </c>
      <c r="I17" s="15"/>
      <c r="J17" s="15" t="e">
        <v>#N/A</v>
      </c>
      <c r="K17" s="29">
        <v>45663</v>
      </c>
      <c r="L17" s="29">
        <v>45854</v>
      </c>
      <c r="M17" s="29" t="s">
        <v>236</v>
      </c>
      <c r="N17" s="29" t="s">
        <v>188</v>
      </c>
      <c r="O17" s="29" t="s">
        <v>23</v>
      </c>
      <c r="P17" s="29" t="s">
        <v>212</v>
      </c>
      <c r="Q17" s="32"/>
      <c r="R17" s="14"/>
      <c r="S17" s="37"/>
      <c r="T17" s="38"/>
      <c r="U17" s="30"/>
      <c r="V17" s="39"/>
      <c r="W17" s="40"/>
      <c r="X17" s="39"/>
      <c r="Y17" s="41"/>
      <c r="Z17" s="9"/>
      <c r="AA17" s="9"/>
      <c r="AB17" s="9"/>
      <c r="AC17" s="7">
        <v>10867</v>
      </c>
      <c r="AD17" s="33"/>
      <c r="AE17" s="33"/>
      <c r="AF17" s="33"/>
      <c r="AG17" s="50">
        <f t="shared" si="0"/>
        <v>46264</v>
      </c>
      <c r="AH17" s="44"/>
      <c r="AI17" s="45"/>
      <c r="AJ17" s="36"/>
      <c r="AK17" s="36"/>
    </row>
    <row r="18" spans="1:37" x14ac:dyDescent="0.3">
      <c r="A18" s="31"/>
      <c r="B18" s="13">
        <v>46084</v>
      </c>
      <c r="C18" s="30">
        <v>10023210</v>
      </c>
      <c r="D18" s="30" t="s">
        <v>1843</v>
      </c>
      <c r="E18" s="30" t="s">
        <v>1843</v>
      </c>
      <c r="F18" s="15" t="s">
        <v>324</v>
      </c>
      <c r="G18" s="15" t="s">
        <v>904</v>
      </c>
      <c r="H18" s="15" t="s">
        <v>252</v>
      </c>
      <c r="I18" s="15"/>
      <c r="J18" s="15" t="e">
        <v>#N/A</v>
      </c>
      <c r="K18" s="29">
        <v>45701</v>
      </c>
      <c r="L18" s="29">
        <v>45961</v>
      </c>
      <c r="M18" s="29" t="s">
        <v>236</v>
      </c>
      <c r="N18" s="29" t="s">
        <v>145</v>
      </c>
      <c r="O18" s="29" t="s">
        <v>24</v>
      </c>
      <c r="P18" s="29" t="s">
        <v>212</v>
      </c>
      <c r="Q18" s="32"/>
      <c r="R18" s="14"/>
      <c r="S18" s="37"/>
      <c r="T18" s="38"/>
      <c r="U18" s="30"/>
      <c r="V18" s="39"/>
      <c r="W18" s="40"/>
      <c r="X18" s="39"/>
      <c r="Y18" s="41"/>
      <c r="Z18" s="9"/>
      <c r="AA18" s="9"/>
      <c r="AB18" s="9"/>
      <c r="AC18" s="7">
        <v>9620</v>
      </c>
      <c r="AD18" s="33"/>
      <c r="AE18" s="33"/>
      <c r="AF18" s="33"/>
      <c r="AG18" s="50">
        <f t="shared" si="0"/>
        <v>46264</v>
      </c>
      <c r="AH18" s="44"/>
      <c r="AI18" s="45"/>
      <c r="AJ18" s="36"/>
      <c r="AK18" s="36"/>
    </row>
    <row r="19" spans="1:37" x14ac:dyDescent="0.3">
      <c r="A19" s="31"/>
      <c r="B19" s="13">
        <v>46084</v>
      </c>
      <c r="C19" s="30">
        <v>10024283</v>
      </c>
      <c r="D19" s="30" t="s">
        <v>1844</v>
      </c>
      <c r="E19" s="30" t="s">
        <v>1844</v>
      </c>
      <c r="F19" s="15" t="s">
        <v>893</v>
      </c>
      <c r="G19" s="15" t="s">
        <v>905</v>
      </c>
      <c r="H19" s="15" t="s">
        <v>252</v>
      </c>
      <c r="I19" s="15"/>
      <c r="J19" s="15" t="e">
        <v>#N/A</v>
      </c>
      <c r="K19" s="29">
        <v>45878</v>
      </c>
      <c r="L19" s="29">
        <v>45910</v>
      </c>
      <c r="M19" s="29" t="s">
        <v>211</v>
      </c>
      <c r="N19" s="29" t="s">
        <v>120</v>
      </c>
      <c r="O19" s="29" t="s">
        <v>23</v>
      </c>
      <c r="P19" s="29" t="s">
        <v>212</v>
      </c>
      <c r="Q19" s="32"/>
      <c r="R19" s="14"/>
      <c r="S19" s="37"/>
      <c r="T19" s="38"/>
      <c r="U19" s="30"/>
      <c r="V19" s="39"/>
      <c r="W19" s="40"/>
      <c r="X19" s="39"/>
      <c r="Y19" s="41"/>
      <c r="Z19" s="9"/>
      <c r="AA19" s="9"/>
      <c r="AB19" s="9"/>
      <c r="AC19" s="7">
        <v>6834</v>
      </c>
      <c r="AD19" s="33"/>
      <c r="AE19" s="33"/>
      <c r="AF19" s="33"/>
      <c r="AG19" s="50">
        <f t="shared" si="0"/>
        <v>46264</v>
      </c>
      <c r="AH19" s="44"/>
      <c r="AI19" s="45"/>
      <c r="AJ19" s="36"/>
      <c r="AK19" s="36"/>
    </row>
    <row r="20" spans="1:37" x14ac:dyDescent="0.3">
      <c r="A20" s="31"/>
      <c r="B20" s="13">
        <v>46127</v>
      </c>
      <c r="C20" s="60">
        <v>10024592</v>
      </c>
      <c r="D20" s="30" t="s">
        <v>1845</v>
      </c>
      <c r="E20" s="30" t="s">
        <v>1845</v>
      </c>
      <c r="F20" s="65" t="s">
        <v>1013</v>
      </c>
      <c r="G20" s="65" t="s">
        <v>249</v>
      </c>
      <c r="H20" s="15" t="s">
        <v>252</v>
      </c>
      <c r="I20" s="15"/>
      <c r="J20" s="15" t="e">
        <v>#N/A</v>
      </c>
      <c r="K20" s="29">
        <v>45936</v>
      </c>
      <c r="L20" s="29">
        <v>45998</v>
      </c>
      <c r="M20" s="29" t="s">
        <v>1209</v>
      </c>
      <c r="N20" s="29" t="s">
        <v>159</v>
      </c>
      <c r="O20" s="29" t="s">
        <v>33</v>
      </c>
      <c r="P20" s="29" t="s">
        <v>217</v>
      </c>
      <c r="Q20" s="32"/>
      <c r="R20" s="14" t="s">
        <v>1326</v>
      </c>
      <c r="S20" s="37"/>
      <c r="T20" s="38"/>
      <c r="U20" s="30"/>
      <c r="V20" s="39"/>
      <c r="W20" s="40"/>
      <c r="X20" s="39"/>
      <c r="Y20" s="41"/>
      <c r="Z20" s="9"/>
      <c r="AA20" s="9"/>
      <c r="AB20" s="9"/>
      <c r="AC20" s="7">
        <v>7447</v>
      </c>
      <c r="AD20" s="33"/>
      <c r="AE20" s="33"/>
      <c r="AF20" s="33"/>
      <c r="AG20" s="50">
        <f t="shared" si="0"/>
        <v>46307</v>
      </c>
      <c r="AH20" s="44"/>
      <c r="AI20" s="45"/>
      <c r="AJ20" s="36"/>
      <c r="AK20" s="36"/>
    </row>
    <row r="21" spans="1:37" x14ac:dyDescent="0.3">
      <c r="A21" s="43"/>
      <c r="B21" s="13">
        <v>46127</v>
      </c>
      <c r="C21" s="60">
        <v>10017951</v>
      </c>
      <c r="D21" s="30" t="s">
        <v>1846</v>
      </c>
      <c r="E21" s="30" t="s">
        <v>1088</v>
      </c>
      <c r="F21" s="65" t="s">
        <v>947</v>
      </c>
      <c r="G21" s="65" t="s">
        <v>250</v>
      </c>
      <c r="H21" s="15" t="s">
        <v>252</v>
      </c>
      <c r="I21" s="15"/>
      <c r="J21" s="15" t="e">
        <v>#N/A</v>
      </c>
      <c r="K21" s="29">
        <v>44894</v>
      </c>
      <c r="L21" s="29">
        <v>45767</v>
      </c>
      <c r="M21" s="29" t="s">
        <v>216</v>
      </c>
      <c r="N21" s="29" t="s">
        <v>91</v>
      </c>
      <c r="O21" s="29" t="s">
        <v>16</v>
      </c>
      <c r="P21" s="29" t="s">
        <v>217</v>
      </c>
      <c r="Q21" s="32"/>
      <c r="R21" s="14" t="s">
        <v>1222</v>
      </c>
      <c r="S21" s="37"/>
      <c r="T21" s="38"/>
      <c r="U21" s="30"/>
      <c r="V21" s="39"/>
      <c r="W21" s="40"/>
      <c r="X21" s="39"/>
      <c r="Y21" s="41"/>
      <c r="Z21" s="9"/>
      <c r="AA21" s="9"/>
      <c r="AB21" s="9"/>
      <c r="AC21" s="7">
        <v>19900</v>
      </c>
      <c r="AD21" s="33"/>
      <c r="AE21" s="33"/>
      <c r="AF21" s="33"/>
      <c r="AG21" s="50">
        <f t="shared" si="0"/>
        <v>46307</v>
      </c>
      <c r="AH21" s="44"/>
      <c r="AI21" s="45"/>
      <c r="AJ21" s="36"/>
      <c r="AK21" s="36"/>
    </row>
    <row r="22" spans="1:37" x14ac:dyDescent="0.3">
      <c r="A22" s="43"/>
      <c r="B22" s="13">
        <v>46127</v>
      </c>
      <c r="C22" s="60">
        <v>10018460</v>
      </c>
      <c r="D22" s="30" t="s">
        <v>1062</v>
      </c>
      <c r="E22" s="30" t="s">
        <v>1062</v>
      </c>
      <c r="F22" s="65" t="s">
        <v>927</v>
      </c>
      <c r="G22" s="65" t="s">
        <v>1225</v>
      </c>
      <c r="H22" s="15" t="s">
        <v>252</v>
      </c>
      <c r="I22" s="15"/>
      <c r="J22" s="15" t="e">
        <v>#N/A</v>
      </c>
      <c r="K22" s="29">
        <v>44999</v>
      </c>
      <c r="L22" s="29">
        <v>45729</v>
      </c>
      <c r="M22" s="29" t="s">
        <v>219</v>
      </c>
      <c r="N22" s="29" t="s">
        <v>168</v>
      </c>
      <c r="O22" s="29" t="s">
        <v>23</v>
      </c>
      <c r="P22" s="29" t="s">
        <v>214</v>
      </c>
      <c r="Q22" s="32"/>
      <c r="R22" s="14" t="s">
        <v>1222</v>
      </c>
      <c r="S22" s="37"/>
      <c r="T22" s="38"/>
      <c r="U22" s="30"/>
      <c r="V22" s="39"/>
      <c r="W22" s="40"/>
      <c r="X22" s="39"/>
      <c r="Y22" s="41"/>
      <c r="Z22" s="9"/>
      <c r="AA22" s="9"/>
      <c r="AB22" s="9"/>
      <c r="AC22" s="7">
        <v>72744</v>
      </c>
      <c r="AD22" s="33"/>
      <c r="AE22" s="33"/>
      <c r="AF22" s="33"/>
      <c r="AG22" s="50">
        <f t="shared" si="0"/>
        <v>46307</v>
      </c>
      <c r="AH22" s="44"/>
      <c r="AI22" s="45"/>
      <c r="AJ22" s="36"/>
      <c r="AK22" s="36"/>
    </row>
    <row r="23" spans="1:37" x14ac:dyDescent="0.3">
      <c r="A23" s="43"/>
      <c r="B23" s="13">
        <v>46127</v>
      </c>
      <c r="C23" s="60">
        <v>10019923</v>
      </c>
      <c r="D23" s="30" t="s">
        <v>1849</v>
      </c>
      <c r="E23" s="30" t="s">
        <v>1849</v>
      </c>
      <c r="F23" s="65" t="s">
        <v>42</v>
      </c>
      <c r="G23" s="65" t="s">
        <v>1297</v>
      </c>
      <c r="H23" s="15" t="s">
        <v>252</v>
      </c>
      <c r="I23" s="15"/>
      <c r="J23" s="15" t="e">
        <v>#N/A</v>
      </c>
      <c r="K23" s="29">
        <v>45250</v>
      </c>
      <c r="L23" s="29">
        <v>45777</v>
      </c>
      <c r="M23" s="29" t="s">
        <v>219</v>
      </c>
      <c r="N23" s="29" t="s">
        <v>110</v>
      </c>
      <c r="O23" s="29" t="s">
        <v>23</v>
      </c>
      <c r="P23" s="29" t="s">
        <v>214</v>
      </c>
      <c r="Q23" s="32"/>
      <c r="R23" s="14" t="s">
        <v>1222</v>
      </c>
      <c r="S23" s="37"/>
      <c r="T23" s="38"/>
      <c r="U23" s="30"/>
      <c r="V23" s="39"/>
      <c r="W23" s="40"/>
      <c r="X23" s="39"/>
      <c r="Y23" s="41"/>
      <c r="Z23" s="9"/>
      <c r="AA23" s="9"/>
      <c r="AB23" s="9"/>
      <c r="AC23" s="7">
        <v>8255</v>
      </c>
      <c r="AD23" s="33"/>
      <c r="AE23" s="33"/>
      <c r="AF23" s="33"/>
      <c r="AG23" s="50">
        <f t="shared" si="0"/>
        <v>46307</v>
      </c>
      <c r="AH23" s="44"/>
      <c r="AI23" s="45"/>
      <c r="AJ23" s="36"/>
      <c r="AK23" s="36"/>
    </row>
    <row r="24" spans="1:37" x14ac:dyDescent="0.3">
      <c r="A24" s="43"/>
      <c r="B24" s="13">
        <v>46127</v>
      </c>
      <c r="C24" s="60">
        <v>10023968</v>
      </c>
      <c r="D24" s="30" t="s">
        <v>1850</v>
      </c>
      <c r="E24" s="30" t="s">
        <v>1850</v>
      </c>
      <c r="F24" s="65" t="s">
        <v>1004</v>
      </c>
      <c r="G24" s="65" t="s">
        <v>1218</v>
      </c>
      <c r="H24" s="15" t="s">
        <v>252</v>
      </c>
      <c r="I24" s="63" t="s">
        <v>916</v>
      </c>
      <c r="J24" s="15" t="s">
        <v>1306</v>
      </c>
      <c r="K24" s="29">
        <v>45835</v>
      </c>
      <c r="L24" s="29">
        <v>45956</v>
      </c>
      <c r="M24" s="29" t="s">
        <v>211</v>
      </c>
      <c r="N24" s="29" t="s">
        <v>138</v>
      </c>
      <c r="O24" s="29" t="s">
        <v>23</v>
      </c>
      <c r="P24" s="29" t="s">
        <v>212</v>
      </c>
      <c r="Q24" s="32"/>
      <c r="R24" s="14" t="s">
        <v>1222</v>
      </c>
      <c r="S24" s="37"/>
      <c r="T24" s="38"/>
      <c r="U24" s="30"/>
      <c r="V24" s="39"/>
      <c r="W24" s="40"/>
      <c r="X24" s="39"/>
      <c r="Y24" s="41"/>
      <c r="Z24" s="9"/>
      <c r="AA24" s="9"/>
      <c r="AB24" s="9"/>
      <c r="AC24" s="7">
        <v>9602</v>
      </c>
      <c r="AD24" s="33"/>
      <c r="AE24" s="33"/>
      <c r="AF24" s="33"/>
      <c r="AG24" s="50">
        <f t="shared" si="0"/>
        <v>46307</v>
      </c>
      <c r="AH24" s="44"/>
      <c r="AI24" s="45"/>
      <c r="AJ24" s="36"/>
      <c r="AK24" s="36"/>
    </row>
    <row r="25" spans="1:37" x14ac:dyDescent="0.3">
      <c r="A25" s="43"/>
      <c r="B25" s="13">
        <v>46127</v>
      </c>
      <c r="C25" s="60">
        <v>10023716</v>
      </c>
      <c r="D25" s="30" t="s">
        <v>1851</v>
      </c>
      <c r="E25" s="30" t="s">
        <v>1851</v>
      </c>
      <c r="F25" s="65" t="s">
        <v>1007</v>
      </c>
      <c r="G25" s="65" t="s">
        <v>1219</v>
      </c>
      <c r="H25" s="15" t="s">
        <v>252</v>
      </c>
      <c r="I25" s="15"/>
      <c r="J25" s="15" t="e">
        <v>#N/A</v>
      </c>
      <c r="K25" s="29">
        <v>45764</v>
      </c>
      <c r="L25" s="29">
        <v>45962</v>
      </c>
      <c r="M25" s="29" t="s">
        <v>211</v>
      </c>
      <c r="N25" s="29" t="s">
        <v>572</v>
      </c>
      <c r="O25" s="29" t="s">
        <v>16</v>
      </c>
      <c r="P25" s="29" t="s">
        <v>212</v>
      </c>
      <c r="Q25" s="32"/>
      <c r="R25" s="14" t="s">
        <v>1222</v>
      </c>
      <c r="S25" s="37"/>
      <c r="T25" s="38"/>
      <c r="U25" s="30"/>
      <c r="V25" s="39"/>
      <c r="W25" s="40"/>
      <c r="X25" s="39"/>
      <c r="Y25" s="41"/>
      <c r="Z25" s="9"/>
      <c r="AA25" s="9"/>
      <c r="AB25" s="9"/>
      <c r="AC25" s="7">
        <v>6443</v>
      </c>
      <c r="AD25" s="33"/>
      <c r="AE25" s="33"/>
      <c r="AF25" s="33"/>
      <c r="AG25" s="50">
        <f t="shared" si="0"/>
        <v>46307</v>
      </c>
      <c r="AH25" s="44"/>
      <c r="AI25" s="45"/>
      <c r="AJ25" s="36"/>
      <c r="AK25" s="36"/>
    </row>
    <row r="26" spans="1:37" x14ac:dyDescent="0.3">
      <c r="A26" s="43"/>
      <c r="B26" s="13">
        <v>46127</v>
      </c>
      <c r="C26" s="60">
        <v>10023310</v>
      </c>
      <c r="D26" s="30" t="s">
        <v>1852</v>
      </c>
      <c r="E26" s="30" t="s">
        <v>1852</v>
      </c>
      <c r="F26" s="65" t="s">
        <v>1008</v>
      </c>
      <c r="G26" s="65" t="s">
        <v>1220</v>
      </c>
      <c r="H26" s="15" t="s">
        <v>252</v>
      </c>
      <c r="I26" s="15"/>
      <c r="J26" s="15" t="e">
        <v>#N/A</v>
      </c>
      <c r="K26" s="29">
        <v>45717</v>
      </c>
      <c r="L26" s="29">
        <v>45808</v>
      </c>
      <c r="M26" s="29" t="s">
        <v>211</v>
      </c>
      <c r="N26" s="29" t="s">
        <v>191</v>
      </c>
      <c r="O26" s="29" t="s">
        <v>23</v>
      </c>
      <c r="P26" s="29" t="s">
        <v>212</v>
      </c>
      <c r="Q26" s="32"/>
      <c r="R26" s="14" t="s">
        <v>1222</v>
      </c>
      <c r="S26" s="37"/>
      <c r="T26" s="38"/>
      <c r="U26" s="30"/>
      <c r="V26" s="39"/>
      <c r="W26" s="40"/>
      <c r="X26" s="39"/>
      <c r="Y26" s="41"/>
      <c r="Z26" s="9"/>
      <c r="AA26" s="9"/>
      <c r="AB26" s="9"/>
      <c r="AC26" s="7">
        <v>5705</v>
      </c>
      <c r="AD26" s="33"/>
      <c r="AE26" s="33"/>
      <c r="AF26" s="33"/>
      <c r="AG26" s="50">
        <f t="shared" si="0"/>
        <v>46307</v>
      </c>
      <c r="AH26" s="44"/>
      <c r="AI26" s="45"/>
      <c r="AJ26" s="36"/>
      <c r="AK26" s="36"/>
    </row>
    <row r="27" spans="1:37" x14ac:dyDescent="0.3">
      <c r="A27" s="43"/>
      <c r="B27" s="13">
        <v>46127</v>
      </c>
      <c r="C27" s="60">
        <v>10023530</v>
      </c>
      <c r="D27" s="61">
        <v>1818874667</v>
      </c>
      <c r="E27" s="61">
        <v>8801558900910</v>
      </c>
      <c r="F27" s="65" t="s">
        <v>1027</v>
      </c>
      <c r="G27" s="61" t="s">
        <v>1216</v>
      </c>
      <c r="H27" s="15" t="s">
        <v>253</v>
      </c>
      <c r="I27" s="63" t="s">
        <v>916</v>
      </c>
      <c r="J27" s="15" t="s">
        <v>1308</v>
      </c>
      <c r="K27" s="29">
        <v>45750</v>
      </c>
      <c r="L27" s="29">
        <v>45869</v>
      </c>
      <c r="M27" s="29" t="s">
        <v>211</v>
      </c>
      <c r="N27" s="29" t="s">
        <v>126</v>
      </c>
      <c r="O27" s="29" t="s">
        <v>23</v>
      </c>
      <c r="P27" s="29" t="s">
        <v>212</v>
      </c>
      <c r="Q27" s="32"/>
      <c r="R27" s="14" t="s">
        <v>1222</v>
      </c>
      <c r="S27" s="37"/>
      <c r="T27" s="38"/>
      <c r="U27" s="30"/>
      <c r="V27" s="39"/>
      <c r="W27" s="40"/>
      <c r="X27" s="39"/>
      <c r="Y27" s="41"/>
      <c r="Z27" s="9"/>
      <c r="AA27" s="9"/>
      <c r="AB27" s="9"/>
      <c r="AC27" s="7">
        <v>8347</v>
      </c>
      <c r="AD27" s="33"/>
      <c r="AE27" s="33"/>
      <c r="AF27" s="33"/>
      <c r="AG27" s="50">
        <f t="shared" si="0"/>
        <v>46307</v>
      </c>
      <c r="AH27" s="44"/>
      <c r="AI27" s="45"/>
      <c r="AJ27" s="36"/>
      <c r="AK27" s="36"/>
    </row>
    <row r="28" spans="1:37" x14ac:dyDescent="0.3">
      <c r="A28" s="43"/>
      <c r="B28" s="13">
        <v>46127</v>
      </c>
      <c r="C28" s="60">
        <v>10020808</v>
      </c>
      <c r="D28" s="30" t="s">
        <v>1853</v>
      </c>
      <c r="E28" s="30" t="s">
        <v>1853</v>
      </c>
      <c r="F28" s="65" t="s">
        <v>1030</v>
      </c>
      <c r="G28" s="65" t="s">
        <v>1226</v>
      </c>
      <c r="H28" s="15" t="s">
        <v>252</v>
      </c>
      <c r="I28" s="15"/>
      <c r="J28" s="15" t="e">
        <v>#N/A</v>
      </c>
      <c r="K28" s="29">
        <v>45371</v>
      </c>
      <c r="L28" s="29">
        <v>45839</v>
      </c>
      <c r="M28" s="29" t="s">
        <v>211</v>
      </c>
      <c r="N28" s="29" t="s">
        <v>160</v>
      </c>
      <c r="O28" s="29" t="s">
        <v>24</v>
      </c>
      <c r="P28" s="29" t="s">
        <v>212</v>
      </c>
      <c r="Q28" s="32"/>
      <c r="R28" s="14" t="s">
        <v>1222</v>
      </c>
      <c r="S28" s="37"/>
      <c r="T28" s="38"/>
      <c r="U28" s="30"/>
      <c r="V28" s="39"/>
      <c r="W28" s="40"/>
      <c r="X28" s="39"/>
      <c r="Y28" s="41"/>
      <c r="Z28" s="9"/>
      <c r="AA28" s="9"/>
      <c r="AB28" s="9"/>
      <c r="AC28" s="7">
        <v>22341</v>
      </c>
      <c r="AD28" s="33"/>
      <c r="AE28" s="33"/>
      <c r="AF28" s="33"/>
      <c r="AG28" s="50">
        <f t="shared" si="0"/>
        <v>46307</v>
      </c>
      <c r="AH28" s="44"/>
      <c r="AI28" s="45"/>
      <c r="AJ28" s="36"/>
      <c r="AK28" s="36"/>
    </row>
    <row r="29" spans="1:37" x14ac:dyDescent="0.3">
      <c r="A29" s="31"/>
      <c r="B29" s="13">
        <v>46127</v>
      </c>
      <c r="C29" s="60">
        <v>30017834</v>
      </c>
      <c r="D29" s="30" t="s">
        <v>1854</v>
      </c>
      <c r="E29" s="30" t="s">
        <v>1854</v>
      </c>
      <c r="F29" s="65" t="s">
        <v>1010</v>
      </c>
      <c r="G29" s="65" t="s">
        <v>1221</v>
      </c>
      <c r="H29" s="15" t="s">
        <v>252</v>
      </c>
      <c r="I29" s="63" t="s">
        <v>916</v>
      </c>
      <c r="J29" s="15" t="s">
        <v>1309</v>
      </c>
      <c r="K29" s="29">
        <v>45798</v>
      </c>
      <c r="L29" s="29">
        <v>45910</v>
      </c>
      <c r="M29" s="29" t="s">
        <v>226</v>
      </c>
      <c r="N29" s="29" t="s">
        <v>313</v>
      </c>
      <c r="O29" s="29" t="s">
        <v>17</v>
      </c>
      <c r="P29" s="29" t="s">
        <v>221</v>
      </c>
      <c r="Q29" s="32"/>
      <c r="R29" s="14" t="s">
        <v>1222</v>
      </c>
      <c r="S29" s="37"/>
      <c r="T29" s="38"/>
      <c r="U29" s="30"/>
      <c r="V29" s="39"/>
      <c r="W29" s="40"/>
      <c r="X29" s="39"/>
      <c r="Y29" s="41"/>
      <c r="Z29" s="9"/>
      <c r="AA29" s="9"/>
      <c r="AB29" s="9"/>
      <c r="AC29" s="7">
        <v>5324</v>
      </c>
      <c r="AD29" s="33"/>
      <c r="AE29" s="33"/>
      <c r="AF29" s="33"/>
      <c r="AG29" s="50">
        <f t="shared" si="0"/>
        <v>46307</v>
      </c>
      <c r="AH29" s="44"/>
      <c r="AI29" s="45"/>
      <c r="AJ29" s="36"/>
      <c r="AK29" s="36"/>
    </row>
    <row r="30" spans="1:37" x14ac:dyDescent="0.3">
      <c r="A30" s="31"/>
      <c r="B30" s="13">
        <v>46127</v>
      </c>
      <c r="C30" s="60">
        <v>10021029</v>
      </c>
      <c r="D30" s="61">
        <v>1841028600</v>
      </c>
      <c r="E30" s="61">
        <v>1841028600</v>
      </c>
      <c r="F30" s="65" t="s">
        <v>1024</v>
      </c>
      <c r="G30" s="61" t="s">
        <v>1217</v>
      </c>
      <c r="H30" s="15" t="s">
        <v>246</v>
      </c>
      <c r="I30" s="63" t="s">
        <v>916</v>
      </c>
      <c r="J30" s="15" t="s">
        <v>1307</v>
      </c>
      <c r="K30" s="29">
        <v>45413</v>
      </c>
      <c r="L30" s="29">
        <v>46054</v>
      </c>
      <c r="M30" s="29" t="s">
        <v>220</v>
      </c>
      <c r="N30" s="29" t="s">
        <v>150</v>
      </c>
      <c r="O30" s="29" t="s">
        <v>17</v>
      </c>
      <c r="P30" s="29" t="s">
        <v>221</v>
      </c>
      <c r="Q30" s="32"/>
      <c r="R30" s="14" t="s">
        <v>1222</v>
      </c>
      <c r="S30" s="37"/>
      <c r="T30" s="38"/>
      <c r="U30" s="30"/>
      <c r="V30" s="39"/>
      <c r="W30" s="40"/>
      <c r="X30" s="39"/>
      <c r="Y30" s="41"/>
      <c r="Z30" s="9"/>
      <c r="AA30" s="9"/>
      <c r="AB30" s="9"/>
      <c r="AC30" s="7">
        <v>22778</v>
      </c>
      <c r="AD30" s="33"/>
      <c r="AE30" s="33"/>
      <c r="AF30" s="33"/>
      <c r="AG30" s="50">
        <f t="shared" si="0"/>
        <v>46307</v>
      </c>
      <c r="AH30" s="44"/>
      <c r="AI30" s="45"/>
      <c r="AJ30" s="36"/>
      <c r="AK30" s="36"/>
    </row>
    <row r="31" spans="1:37" x14ac:dyDescent="0.3">
      <c r="A31" s="31"/>
      <c r="B31" s="13">
        <v>46127</v>
      </c>
      <c r="C31" s="60">
        <v>10016694</v>
      </c>
      <c r="D31" s="30" t="s">
        <v>72</v>
      </c>
      <c r="E31" s="30" t="s">
        <v>72</v>
      </c>
      <c r="F31" s="65" t="s">
        <v>994</v>
      </c>
      <c r="G31" s="65"/>
      <c r="H31" s="15" t="s">
        <v>248</v>
      </c>
      <c r="I31" s="63" t="s">
        <v>916</v>
      </c>
      <c r="J31" s="15" t="s">
        <v>1312</v>
      </c>
      <c r="K31" s="29">
        <v>44621</v>
      </c>
      <c r="L31" s="29">
        <v>44883</v>
      </c>
      <c r="M31" s="29" t="s">
        <v>300</v>
      </c>
      <c r="N31" s="29" t="s">
        <v>94</v>
      </c>
      <c r="O31" s="29" t="s">
        <v>17</v>
      </c>
      <c r="P31" s="29" t="s">
        <v>221</v>
      </c>
      <c r="Q31" s="32"/>
      <c r="R31" s="14" t="s">
        <v>1222</v>
      </c>
      <c r="S31" s="37"/>
      <c r="T31" s="38"/>
      <c r="U31" s="30"/>
      <c r="V31" s="39"/>
      <c r="W31" s="40"/>
      <c r="X31" s="39"/>
      <c r="Y31" s="41"/>
      <c r="Z31" s="9"/>
      <c r="AA31" s="9"/>
      <c r="AB31" s="9"/>
      <c r="AC31" s="7">
        <v>3631</v>
      </c>
      <c r="AD31" s="33"/>
      <c r="AE31" s="33"/>
      <c r="AF31" s="33"/>
      <c r="AG31" s="50">
        <f t="shared" si="0"/>
        <v>46307</v>
      </c>
      <c r="AH31" s="44"/>
      <c r="AI31" s="45"/>
      <c r="AJ31" s="36"/>
      <c r="AK31" s="36"/>
    </row>
    <row r="32" spans="1:37" x14ac:dyDescent="0.3">
      <c r="A32" s="31"/>
      <c r="B32" s="13">
        <v>46127</v>
      </c>
      <c r="C32" s="60">
        <v>10022344</v>
      </c>
      <c r="D32" s="30" t="s">
        <v>1194</v>
      </c>
      <c r="E32" s="30" t="s">
        <v>1194</v>
      </c>
      <c r="F32" s="65" t="s">
        <v>999</v>
      </c>
      <c r="G32" s="65" t="s">
        <v>1204</v>
      </c>
      <c r="H32" s="15" t="s">
        <v>1327</v>
      </c>
      <c r="I32" s="63" t="s">
        <v>916</v>
      </c>
      <c r="J32" s="15" t="s">
        <v>1307</v>
      </c>
      <c r="K32" s="29">
        <v>45597</v>
      </c>
      <c r="L32" s="29">
        <v>45809</v>
      </c>
      <c r="M32" s="29" t="s">
        <v>220</v>
      </c>
      <c r="N32" s="29" t="s">
        <v>150</v>
      </c>
      <c r="O32" s="29" t="s">
        <v>17</v>
      </c>
      <c r="P32" s="29" t="s">
        <v>221</v>
      </c>
      <c r="Q32" s="32"/>
      <c r="R32" s="14" t="s">
        <v>1222</v>
      </c>
      <c r="S32" s="37"/>
      <c r="T32" s="38"/>
      <c r="U32" s="30"/>
      <c r="V32" s="39"/>
      <c r="W32" s="40"/>
      <c r="X32" s="39"/>
      <c r="Y32" s="41"/>
      <c r="Z32" s="9"/>
      <c r="AA32" s="9"/>
      <c r="AB32" s="9"/>
      <c r="AC32" s="7">
        <v>728</v>
      </c>
      <c r="AD32" s="33"/>
      <c r="AE32" s="33"/>
      <c r="AF32" s="33"/>
      <c r="AG32" s="50">
        <f t="shared" si="0"/>
        <v>46307</v>
      </c>
      <c r="AH32" s="44"/>
      <c r="AI32" s="45"/>
      <c r="AJ32" s="36"/>
      <c r="AK32" s="36"/>
    </row>
    <row r="33" spans="1:37" x14ac:dyDescent="0.3">
      <c r="A33" s="31"/>
      <c r="B33" s="13">
        <v>46127</v>
      </c>
      <c r="C33" s="60">
        <v>10019345</v>
      </c>
      <c r="D33" s="30" t="s">
        <v>1197</v>
      </c>
      <c r="E33" s="30" t="s">
        <v>1197</v>
      </c>
      <c r="F33" s="65" t="s">
        <v>1036</v>
      </c>
      <c r="G33" s="65"/>
      <c r="H33" s="15" t="s">
        <v>246</v>
      </c>
      <c r="I33" s="63" t="s">
        <v>916</v>
      </c>
      <c r="J33" s="15" t="s">
        <v>1307</v>
      </c>
      <c r="K33" s="29">
        <v>45116</v>
      </c>
      <c r="L33" s="29">
        <v>45901</v>
      </c>
      <c r="M33" s="29" t="s">
        <v>220</v>
      </c>
      <c r="N33" s="29" t="s">
        <v>125</v>
      </c>
      <c r="O33" s="29" t="s">
        <v>17</v>
      </c>
      <c r="P33" s="29" t="s">
        <v>221</v>
      </c>
      <c r="Q33" s="32"/>
      <c r="R33" s="14" t="s">
        <v>1222</v>
      </c>
      <c r="S33" s="37"/>
      <c r="T33" s="38"/>
      <c r="U33" s="30"/>
      <c r="V33" s="39"/>
      <c r="W33" s="40"/>
      <c r="X33" s="39"/>
      <c r="Y33" s="41"/>
      <c r="Z33" s="9"/>
      <c r="AA33" s="9"/>
      <c r="AB33" s="9"/>
      <c r="AC33" s="7">
        <v>9698</v>
      </c>
      <c r="AD33" s="33"/>
      <c r="AE33" s="33"/>
      <c r="AF33" s="33"/>
      <c r="AG33" s="50">
        <f t="shared" si="0"/>
        <v>46307</v>
      </c>
      <c r="AH33" s="44"/>
      <c r="AI33" s="45"/>
      <c r="AJ33" s="36"/>
      <c r="AK33" s="36"/>
    </row>
    <row r="34" spans="1:37" x14ac:dyDescent="0.3">
      <c r="A34" s="31"/>
      <c r="B34" s="13">
        <v>46147</v>
      </c>
      <c r="C34" s="60">
        <v>10021920</v>
      </c>
      <c r="D34" s="30">
        <v>8801932936074</v>
      </c>
      <c r="E34" s="30">
        <v>8801932936074</v>
      </c>
      <c r="F34" s="65" t="s">
        <v>1257</v>
      </c>
      <c r="G34" s="30" t="s">
        <v>1268</v>
      </c>
      <c r="H34" s="15" t="s">
        <v>246</v>
      </c>
      <c r="I34" s="63" t="s">
        <v>916</v>
      </c>
      <c r="J34" s="15" t="s">
        <v>1307</v>
      </c>
      <c r="K34" s="29">
        <v>45550</v>
      </c>
      <c r="L34" s="29">
        <v>45838</v>
      </c>
      <c r="M34" s="29" t="s">
        <v>220</v>
      </c>
      <c r="N34" s="29" t="s">
        <v>107</v>
      </c>
      <c r="O34" s="29" t="s">
        <v>17</v>
      </c>
      <c r="P34" s="29" t="s">
        <v>221</v>
      </c>
      <c r="Q34" s="32"/>
      <c r="R34" s="14" t="s">
        <v>1222</v>
      </c>
      <c r="S34" s="37"/>
      <c r="T34" s="38"/>
      <c r="U34" s="30"/>
      <c r="V34" s="39"/>
      <c r="W34" s="40"/>
      <c r="X34" s="39"/>
      <c r="Y34" s="41"/>
      <c r="Z34" s="9"/>
      <c r="AA34" s="9"/>
      <c r="AB34" s="9"/>
      <c r="AC34" s="7">
        <v>9172</v>
      </c>
      <c r="AD34" s="33"/>
      <c r="AE34" s="33"/>
      <c r="AF34" s="33"/>
      <c r="AG34" s="50">
        <f t="shared" si="0"/>
        <v>46327</v>
      </c>
      <c r="AH34" s="44"/>
      <c r="AI34" s="45"/>
      <c r="AJ34" s="36"/>
      <c r="AK34" s="36"/>
    </row>
    <row r="35" spans="1:37" x14ac:dyDescent="0.3">
      <c r="A35" s="31"/>
      <c r="B35" s="13">
        <v>46147</v>
      </c>
      <c r="C35" s="60">
        <v>10018343</v>
      </c>
      <c r="D35" s="30" t="s">
        <v>1285</v>
      </c>
      <c r="E35" s="30" t="s">
        <v>1285</v>
      </c>
      <c r="F35" s="65" t="s">
        <v>1258</v>
      </c>
      <c r="G35" s="30" t="s">
        <v>1286</v>
      </c>
      <c r="H35" s="15" t="s">
        <v>252</v>
      </c>
      <c r="I35" s="15"/>
      <c r="J35" s="15" t="e">
        <v>#N/A</v>
      </c>
      <c r="K35" s="29">
        <v>44969</v>
      </c>
      <c r="L35" s="29">
        <v>45901</v>
      </c>
      <c r="M35" s="29" t="s">
        <v>219</v>
      </c>
      <c r="N35" s="29" t="s">
        <v>1210</v>
      </c>
      <c r="O35" s="29" t="s">
        <v>25</v>
      </c>
      <c r="P35" s="29" t="s">
        <v>214</v>
      </c>
      <c r="Q35" s="32">
        <v>45658</v>
      </c>
      <c r="R35" s="14" t="s">
        <v>1222</v>
      </c>
      <c r="S35" s="37"/>
      <c r="T35" s="38"/>
      <c r="U35" s="30"/>
      <c r="V35" s="39"/>
      <c r="W35" s="40"/>
      <c r="X35" s="39"/>
      <c r="Y35" s="41"/>
      <c r="Z35" s="9"/>
      <c r="AA35" s="9"/>
      <c r="AB35" s="9"/>
      <c r="AC35" s="7">
        <v>29293</v>
      </c>
      <c r="AD35" s="33"/>
      <c r="AE35" s="33"/>
      <c r="AF35" s="33"/>
      <c r="AG35" s="50">
        <f t="shared" si="0"/>
        <v>46327</v>
      </c>
      <c r="AH35" s="44"/>
      <c r="AI35" s="45"/>
      <c r="AJ35" s="36"/>
      <c r="AK35" s="36"/>
    </row>
    <row r="36" spans="1:37" x14ac:dyDescent="0.3">
      <c r="A36" s="31"/>
      <c r="B36" s="13">
        <v>46147</v>
      </c>
      <c r="C36" s="60">
        <v>15520</v>
      </c>
      <c r="D36" s="30" t="s">
        <v>1858</v>
      </c>
      <c r="E36" s="30" t="s">
        <v>1291</v>
      </c>
      <c r="F36" s="65" t="s">
        <v>1261</v>
      </c>
      <c r="G36" s="30" t="s">
        <v>1296</v>
      </c>
      <c r="H36" s="15" t="s">
        <v>252</v>
      </c>
      <c r="I36" s="15"/>
      <c r="J36" s="15" t="e">
        <v>#N/A</v>
      </c>
      <c r="K36" s="29">
        <v>44348</v>
      </c>
      <c r="L36" s="29">
        <v>45980</v>
      </c>
      <c r="M36" s="29" t="s">
        <v>220</v>
      </c>
      <c r="N36" s="29" t="s">
        <v>125</v>
      </c>
      <c r="O36" s="29" t="s">
        <v>17</v>
      </c>
      <c r="P36" s="29" t="s">
        <v>221</v>
      </c>
      <c r="Q36" s="32"/>
      <c r="R36" s="14" t="s">
        <v>1222</v>
      </c>
      <c r="S36" s="37"/>
      <c r="T36" s="38"/>
      <c r="U36" s="30"/>
      <c r="V36" s="39"/>
      <c r="W36" s="40"/>
      <c r="X36" s="39"/>
      <c r="Y36" s="41"/>
      <c r="Z36" s="9"/>
      <c r="AA36" s="9"/>
      <c r="AB36" s="9"/>
      <c r="AC36" s="7">
        <v>1666</v>
      </c>
      <c r="AD36" s="33"/>
      <c r="AE36" s="33"/>
      <c r="AF36" s="33"/>
      <c r="AG36" s="50">
        <f t="shared" si="0"/>
        <v>46327</v>
      </c>
      <c r="AH36" s="44"/>
      <c r="AI36" s="45"/>
      <c r="AJ36" s="36"/>
      <c r="AK36" s="36"/>
    </row>
    <row r="37" spans="1:37" x14ac:dyDescent="0.3">
      <c r="A37" s="31"/>
      <c r="B37" s="13">
        <v>46147</v>
      </c>
      <c r="C37" s="60">
        <v>10021614</v>
      </c>
      <c r="D37" s="30">
        <v>8801777938992</v>
      </c>
      <c r="E37" s="30">
        <v>8801777938992</v>
      </c>
      <c r="F37" s="65" t="s">
        <v>1263</v>
      </c>
      <c r="G37" s="30" t="s">
        <v>1269</v>
      </c>
      <c r="H37" s="15" t="s">
        <v>247</v>
      </c>
      <c r="I37" s="63" t="s">
        <v>916</v>
      </c>
      <c r="J37" s="15" t="s">
        <v>1307</v>
      </c>
      <c r="K37" s="29">
        <v>45508</v>
      </c>
      <c r="L37" s="29">
        <v>45839</v>
      </c>
      <c r="M37" s="29" t="s">
        <v>220</v>
      </c>
      <c r="N37" s="29" t="s">
        <v>274</v>
      </c>
      <c r="O37" s="29" t="s">
        <v>17</v>
      </c>
      <c r="P37" s="29" t="s">
        <v>221</v>
      </c>
      <c r="Q37" s="32"/>
      <c r="R37" s="14" t="s">
        <v>1222</v>
      </c>
      <c r="S37" s="37"/>
      <c r="T37" s="38"/>
      <c r="U37" s="30"/>
      <c r="V37" s="39"/>
      <c r="W37" s="40"/>
      <c r="X37" s="39"/>
      <c r="Y37" s="41"/>
      <c r="Z37" s="9"/>
      <c r="AA37" s="9"/>
      <c r="AB37" s="9"/>
      <c r="AC37" s="7">
        <v>9745</v>
      </c>
      <c r="AD37" s="33"/>
      <c r="AE37" s="33"/>
      <c r="AF37" s="33"/>
      <c r="AG37" s="50">
        <f t="shared" si="0"/>
        <v>46327</v>
      </c>
      <c r="AH37" s="44"/>
      <c r="AI37" s="45"/>
      <c r="AJ37" s="36"/>
      <c r="AK37" s="36"/>
    </row>
    <row r="38" spans="1:37" x14ac:dyDescent="0.3">
      <c r="A38" s="31"/>
      <c r="B38" s="13">
        <v>46183</v>
      </c>
      <c r="C38" s="60">
        <v>30017012</v>
      </c>
      <c r="D38" s="30" t="s">
        <v>1524</v>
      </c>
      <c r="E38" s="30" t="s">
        <v>1524</v>
      </c>
      <c r="F38" s="65" t="s">
        <v>1396</v>
      </c>
      <c r="G38" s="30" t="s">
        <v>1447</v>
      </c>
      <c r="H38" s="15" t="s">
        <v>252</v>
      </c>
      <c r="I38" s="63"/>
      <c r="J38" s="15"/>
      <c r="K38" s="29">
        <v>45467</v>
      </c>
      <c r="L38" s="29">
        <v>45493</v>
      </c>
      <c r="M38" s="29" t="s">
        <v>226</v>
      </c>
      <c r="N38" s="29" t="s">
        <v>150</v>
      </c>
      <c r="O38" s="29" t="s">
        <v>17</v>
      </c>
      <c r="P38" s="29" t="s">
        <v>221</v>
      </c>
      <c r="Q38" s="32"/>
      <c r="R38" s="14" t="s">
        <v>1222</v>
      </c>
      <c r="S38" s="37"/>
      <c r="T38" s="38"/>
      <c r="U38" s="30"/>
      <c r="V38" s="39"/>
      <c r="W38" s="40"/>
      <c r="X38" s="39"/>
      <c r="Y38" s="41"/>
      <c r="Z38" s="9"/>
      <c r="AA38" s="9"/>
      <c r="AB38" s="9"/>
      <c r="AC38" s="7">
        <v>9673</v>
      </c>
      <c r="AD38" s="33"/>
      <c r="AE38" s="33"/>
      <c r="AF38" s="33"/>
      <c r="AG38" s="50">
        <f t="shared" si="0"/>
        <v>46363</v>
      </c>
      <c r="AH38" s="44"/>
      <c r="AI38" s="45"/>
      <c r="AJ38" s="36"/>
      <c r="AK38" s="36"/>
    </row>
    <row r="39" spans="1:37" x14ac:dyDescent="0.3">
      <c r="A39" s="31"/>
      <c r="B39" s="13">
        <v>46183</v>
      </c>
      <c r="C39" s="60">
        <v>10022239</v>
      </c>
      <c r="D39" s="30" t="s">
        <v>1525</v>
      </c>
      <c r="E39" s="30" t="s">
        <v>1526</v>
      </c>
      <c r="F39" s="65" t="s">
        <v>1397</v>
      </c>
      <c r="G39" s="30" t="s">
        <v>1448</v>
      </c>
      <c r="H39" s="15" t="s">
        <v>252</v>
      </c>
      <c r="I39" s="63"/>
      <c r="J39" s="15"/>
      <c r="K39" s="29">
        <v>45600</v>
      </c>
      <c r="L39" s="29">
        <v>45870</v>
      </c>
      <c r="M39" s="29" t="s">
        <v>211</v>
      </c>
      <c r="N39" s="29" t="s">
        <v>164</v>
      </c>
      <c r="O39" s="29" t="s">
        <v>23</v>
      </c>
      <c r="P39" s="29" t="s">
        <v>212</v>
      </c>
      <c r="Q39" s="32"/>
      <c r="R39" s="14" t="s">
        <v>1222</v>
      </c>
      <c r="S39" s="37"/>
      <c r="T39" s="38"/>
      <c r="U39" s="30"/>
      <c r="V39" s="39"/>
      <c r="W39" s="40"/>
      <c r="X39" s="39"/>
      <c r="Y39" s="41"/>
      <c r="Z39" s="9"/>
      <c r="AA39" s="9"/>
      <c r="AB39" s="9"/>
      <c r="AC39" s="7">
        <v>8941</v>
      </c>
      <c r="AD39" s="33"/>
      <c r="AE39" s="33"/>
      <c r="AF39" s="33"/>
      <c r="AG39" s="50">
        <f t="shared" si="0"/>
        <v>46363</v>
      </c>
      <c r="AH39" s="44"/>
      <c r="AI39" s="45"/>
      <c r="AJ39" s="36"/>
      <c r="AK39" s="36"/>
    </row>
    <row r="40" spans="1:37" x14ac:dyDescent="0.3">
      <c r="A40" s="31"/>
      <c r="B40" s="13">
        <v>46183</v>
      </c>
      <c r="C40" s="60">
        <v>10023242</v>
      </c>
      <c r="D40" s="30" t="s">
        <v>1531</v>
      </c>
      <c r="E40" s="30" t="s">
        <v>1531</v>
      </c>
      <c r="F40" s="65" t="s">
        <v>1403</v>
      </c>
      <c r="G40" s="30" t="s">
        <v>1449</v>
      </c>
      <c r="H40" s="15" t="s">
        <v>252</v>
      </c>
      <c r="I40" s="63"/>
      <c r="J40" s="15"/>
      <c r="K40" s="29">
        <v>45703</v>
      </c>
      <c r="L40" s="29">
        <v>45991</v>
      </c>
      <c r="M40" s="29" t="s">
        <v>219</v>
      </c>
      <c r="N40" s="29" t="s">
        <v>96</v>
      </c>
      <c r="O40" s="29" t="s">
        <v>23</v>
      </c>
      <c r="P40" s="29" t="s">
        <v>214</v>
      </c>
      <c r="Q40" s="32"/>
      <c r="R40" s="14" t="s">
        <v>1222</v>
      </c>
      <c r="S40" s="37"/>
      <c r="T40" s="38"/>
      <c r="U40" s="30"/>
      <c r="V40" s="39"/>
      <c r="W40" s="40"/>
      <c r="X40" s="39"/>
      <c r="Y40" s="41"/>
      <c r="Z40" s="9"/>
      <c r="AA40" s="9"/>
      <c r="AB40" s="9"/>
      <c r="AC40" s="7">
        <v>11811</v>
      </c>
      <c r="AD40" s="33"/>
      <c r="AE40" s="33"/>
      <c r="AF40" s="33"/>
      <c r="AG40" s="50">
        <f t="shared" si="0"/>
        <v>46363</v>
      </c>
      <c r="AH40" s="44"/>
      <c r="AI40" s="45"/>
      <c r="AJ40" s="36"/>
      <c r="AK40" s="36"/>
    </row>
    <row r="41" spans="1:37" x14ac:dyDescent="0.3">
      <c r="A41" s="31"/>
      <c r="B41" s="13">
        <v>46183</v>
      </c>
      <c r="C41" s="60">
        <v>10024397</v>
      </c>
      <c r="D41" s="30" t="s">
        <v>1532</v>
      </c>
      <c r="E41" s="30" t="s">
        <v>1532</v>
      </c>
      <c r="F41" s="65" t="s">
        <v>1404</v>
      </c>
      <c r="G41" s="30" t="s">
        <v>1450</v>
      </c>
      <c r="H41" s="15" t="s">
        <v>252</v>
      </c>
      <c r="I41" s="63"/>
      <c r="J41" s="15" t="s">
        <v>1862</v>
      </c>
      <c r="K41" s="29">
        <v>45901</v>
      </c>
      <c r="L41" s="29">
        <v>46023</v>
      </c>
      <c r="M41" s="29" t="s">
        <v>211</v>
      </c>
      <c r="N41" s="29" t="s">
        <v>142</v>
      </c>
      <c r="O41" s="29" t="s">
        <v>23</v>
      </c>
      <c r="P41" s="29" t="s">
        <v>212</v>
      </c>
      <c r="Q41" s="32"/>
      <c r="R41" s="14" t="s">
        <v>1222</v>
      </c>
      <c r="S41" s="37"/>
      <c r="T41" s="38"/>
      <c r="U41" s="30"/>
      <c r="V41" s="39"/>
      <c r="W41" s="40"/>
      <c r="X41" s="39"/>
      <c r="Y41" s="41"/>
      <c r="Z41" s="9"/>
      <c r="AA41" s="9"/>
      <c r="AB41" s="9"/>
      <c r="AC41" s="7">
        <v>6971</v>
      </c>
      <c r="AD41" s="33"/>
      <c r="AE41" s="33"/>
      <c r="AF41" s="33"/>
      <c r="AG41" s="50">
        <f t="shared" si="0"/>
        <v>46363</v>
      </c>
      <c r="AH41" s="44"/>
      <c r="AI41" s="45"/>
      <c r="AJ41" s="36"/>
      <c r="AK41" s="36"/>
    </row>
    <row r="42" spans="1:37" x14ac:dyDescent="0.3">
      <c r="A42" s="31"/>
      <c r="B42" s="13">
        <v>46183</v>
      </c>
      <c r="C42" s="60">
        <v>10021702</v>
      </c>
      <c r="D42" s="30" t="s">
        <v>1546</v>
      </c>
      <c r="E42" s="30" t="s">
        <v>1546</v>
      </c>
      <c r="F42" s="65" t="s">
        <v>1419</v>
      </c>
      <c r="G42" s="30" t="s">
        <v>1451</v>
      </c>
      <c r="H42" s="15" t="s">
        <v>252</v>
      </c>
      <c r="I42" s="63" t="s">
        <v>1610</v>
      </c>
      <c r="J42" s="15" t="s">
        <v>1865</v>
      </c>
      <c r="K42" s="29">
        <v>45518</v>
      </c>
      <c r="L42" s="29">
        <v>45870</v>
      </c>
      <c r="M42" s="29" t="s">
        <v>211</v>
      </c>
      <c r="N42" s="29" t="s">
        <v>111</v>
      </c>
      <c r="O42" s="29" t="s">
        <v>23</v>
      </c>
      <c r="P42" s="29" t="s">
        <v>212</v>
      </c>
      <c r="Q42" s="32"/>
      <c r="R42" s="14" t="s">
        <v>1222</v>
      </c>
      <c r="S42" s="37"/>
      <c r="T42" s="38"/>
      <c r="U42" s="30"/>
      <c r="V42" s="39"/>
      <c r="W42" s="40"/>
      <c r="X42" s="39"/>
      <c r="Y42" s="41"/>
      <c r="Z42" s="9"/>
      <c r="AA42" s="9"/>
      <c r="AB42" s="9"/>
      <c r="AC42" s="7">
        <v>6079</v>
      </c>
      <c r="AD42" s="33"/>
      <c r="AE42" s="33"/>
      <c r="AF42" s="33"/>
      <c r="AG42" s="50">
        <f t="shared" si="0"/>
        <v>46363</v>
      </c>
      <c r="AH42" s="44"/>
      <c r="AI42" s="45"/>
      <c r="AJ42" s="36"/>
      <c r="AK42" s="36"/>
    </row>
    <row r="43" spans="1:37" x14ac:dyDescent="0.3">
      <c r="A43" s="31"/>
      <c r="B43" s="13">
        <v>46194</v>
      </c>
      <c r="C43" s="60">
        <v>10020983</v>
      </c>
      <c r="D43" s="30" t="s">
        <v>1604</v>
      </c>
      <c r="E43" s="30" t="s">
        <v>1604</v>
      </c>
      <c r="F43" s="65" t="s">
        <v>82</v>
      </c>
      <c r="G43" s="30" t="s">
        <v>1828</v>
      </c>
      <c r="H43" s="15" t="s">
        <v>252</v>
      </c>
      <c r="I43" s="63"/>
      <c r="J43" s="15"/>
      <c r="K43" s="29">
        <v>45409</v>
      </c>
      <c r="L43" s="29">
        <v>45841</v>
      </c>
      <c r="M43" s="29" t="s">
        <v>211</v>
      </c>
      <c r="N43" s="29"/>
      <c r="O43" s="29" t="s">
        <v>23</v>
      </c>
      <c r="P43" s="29" t="s">
        <v>212</v>
      </c>
      <c r="Q43" s="32"/>
      <c r="R43" s="14" t="s">
        <v>1222</v>
      </c>
      <c r="S43" s="37"/>
      <c r="T43" s="38"/>
      <c r="U43" s="30"/>
      <c r="V43" s="39"/>
      <c r="W43" s="40"/>
      <c r="X43" s="39"/>
      <c r="Y43" s="41"/>
      <c r="Z43" s="9"/>
      <c r="AA43" s="9"/>
      <c r="AB43" s="9"/>
      <c r="AC43" s="7">
        <v>8243</v>
      </c>
      <c r="AD43" s="33"/>
      <c r="AE43" s="33"/>
      <c r="AF43" s="33"/>
      <c r="AG43" s="50">
        <f t="shared" si="0"/>
        <v>46374</v>
      </c>
      <c r="AH43" s="44"/>
      <c r="AI43" s="45"/>
      <c r="AJ43" s="36"/>
      <c r="AK43" s="36"/>
    </row>
    <row r="44" spans="1:37" x14ac:dyDescent="0.3">
      <c r="A44" s="31"/>
      <c r="B44" s="13">
        <v>46194</v>
      </c>
      <c r="C44" s="60">
        <v>14371</v>
      </c>
      <c r="D44" s="30" t="s">
        <v>1607</v>
      </c>
      <c r="E44" s="30" t="s">
        <v>1608</v>
      </c>
      <c r="F44" s="65" t="s">
        <v>1576</v>
      </c>
      <c r="G44" s="30" t="s">
        <v>1563</v>
      </c>
      <c r="H44" s="15" t="s">
        <v>252</v>
      </c>
      <c r="I44" s="63"/>
      <c r="J44" s="15"/>
      <c r="K44" s="29">
        <v>44052</v>
      </c>
      <c r="L44" s="29">
        <v>45900</v>
      </c>
      <c r="M44" s="29" t="s">
        <v>219</v>
      </c>
      <c r="N44" s="29"/>
      <c r="O44" s="29" t="s">
        <v>16</v>
      </c>
      <c r="P44" s="29" t="s">
        <v>214</v>
      </c>
      <c r="Q44" s="32">
        <v>44927</v>
      </c>
      <c r="R44" s="14" t="s">
        <v>1222</v>
      </c>
      <c r="S44" s="37"/>
      <c r="T44" s="38"/>
      <c r="U44" s="30"/>
      <c r="V44" s="39"/>
      <c r="W44" s="40"/>
      <c r="X44" s="39"/>
      <c r="Y44" s="41"/>
      <c r="Z44" s="9"/>
      <c r="AA44" s="9"/>
      <c r="AB44" s="9"/>
      <c r="AC44" s="7">
        <v>8243</v>
      </c>
      <c r="AD44" s="33"/>
      <c r="AE44" s="33"/>
      <c r="AF44" s="33"/>
      <c r="AG44" s="50">
        <f t="shared" si="0"/>
        <v>46374</v>
      </c>
      <c r="AH44" s="44"/>
      <c r="AI44" s="45"/>
      <c r="AJ44" s="36"/>
      <c r="AK44" s="36"/>
    </row>
    <row r="45" spans="1:37" x14ac:dyDescent="0.3">
      <c r="A45" s="31"/>
      <c r="B45" s="13">
        <v>46216</v>
      </c>
      <c r="C45" s="70">
        <v>10024161</v>
      </c>
      <c r="D45" s="61" t="s">
        <v>1740</v>
      </c>
      <c r="E45" s="30" t="s">
        <v>1740</v>
      </c>
      <c r="F45" s="65" t="s">
        <v>1624</v>
      </c>
      <c r="G45" s="30" t="s">
        <v>1695</v>
      </c>
      <c r="H45" s="15" t="s">
        <v>252</v>
      </c>
      <c r="I45" s="63"/>
      <c r="J45" s="15"/>
      <c r="K45" s="29">
        <v>45862</v>
      </c>
      <c r="L45" s="29">
        <v>45915</v>
      </c>
      <c r="M45" s="29" t="s">
        <v>211</v>
      </c>
      <c r="N45" s="29" t="s">
        <v>572</v>
      </c>
      <c r="O45" s="29" t="s">
        <v>16</v>
      </c>
      <c r="P45" s="29" t="s">
        <v>212</v>
      </c>
      <c r="Q45" s="32"/>
      <c r="R45" s="14" t="s">
        <v>1222</v>
      </c>
      <c r="S45" s="37"/>
      <c r="T45" s="38"/>
      <c r="U45" s="30"/>
      <c r="V45" s="39"/>
      <c r="W45" s="40"/>
      <c r="X45" s="39"/>
      <c r="Y45" s="41"/>
      <c r="Z45" s="9"/>
      <c r="AA45" s="9"/>
      <c r="AB45" s="9"/>
      <c r="AC45" s="7">
        <v>20930</v>
      </c>
      <c r="AD45" s="33"/>
      <c r="AE45" s="33"/>
      <c r="AF45" s="33"/>
      <c r="AG45" s="50">
        <f t="shared" si="0"/>
        <v>46396</v>
      </c>
      <c r="AH45" s="44"/>
      <c r="AI45" s="45"/>
      <c r="AJ45" s="36"/>
      <c r="AK45" s="36"/>
    </row>
    <row r="46" spans="1:37" x14ac:dyDescent="0.3">
      <c r="A46" s="31"/>
      <c r="B46" s="13">
        <v>46216</v>
      </c>
      <c r="C46" s="70">
        <v>10023628</v>
      </c>
      <c r="D46" s="61" t="s">
        <v>1742</v>
      </c>
      <c r="E46" s="30" t="s">
        <v>1742</v>
      </c>
      <c r="F46" s="65" t="s">
        <v>1626</v>
      </c>
      <c r="G46" s="30" t="s">
        <v>1696</v>
      </c>
      <c r="H46" s="15" t="s">
        <v>252</v>
      </c>
      <c r="I46" s="63"/>
      <c r="J46" s="15"/>
      <c r="K46" s="29">
        <v>45771</v>
      </c>
      <c r="L46" s="29">
        <v>45991</v>
      </c>
      <c r="M46" s="29" t="s">
        <v>219</v>
      </c>
      <c r="N46" s="29" t="s">
        <v>342</v>
      </c>
      <c r="O46" s="29" t="s">
        <v>16</v>
      </c>
      <c r="P46" s="29" t="s">
        <v>214</v>
      </c>
      <c r="Q46" s="32"/>
      <c r="R46" s="14" t="s">
        <v>1222</v>
      </c>
      <c r="S46" s="37"/>
      <c r="T46" s="38"/>
      <c r="U46" s="30"/>
      <c r="V46" s="39"/>
      <c r="W46" s="40"/>
      <c r="X46" s="39"/>
      <c r="Y46" s="41"/>
      <c r="Z46" s="9"/>
      <c r="AA46" s="9"/>
      <c r="AB46" s="9"/>
      <c r="AC46" s="7">
        <v>11737</v>
      </c>
      <c r="AD46" s="33"/>
      <c r="AE46" s="33"/>
      <c r="AF46" s="33"/>
      <c r="AG46" s="50">
        <f t="shared" si="0"/>
        <v>46396</v>
      </c>
      <c r="AH46" s="44"/>
      <c r="AI46" s="45"/>
      <c r="AJ46" s="36"/>
      <c r="AK46" s="36"/>
    </row>
    <row r="47" spans="1:37" x14ac:dyDescent="0.3">
      <c r="A47" s="31"/>
      <c r="B47" s="13">
        <v>46216</v>
      </c>
      <c r="C47" s="70">
        <v>30017956</v>
      </c>
      <c r="D47" s="61" t="s">
        <v>1750</v>
      </c>
      <c r="E47" s="30" t="s">
        <v>1750</v>
      </c>
      <c r="F47" s="65" t="s">
        <v>1636</v>
      </c>
      <c r="G47" s="30" t="s">
        <v>1697</v>
      </c>
      <c r="H47" s="15" t="s">
        <v>246</v>
      </c>
      <c r="I47" s="63" t="s">
        <v>916</v>
      </c>
      <c r="J47" s="15"/>
      <c r="K47" s="29">
        <v>45988</v>
      </c>
      <c r="L47" s="29">
        <v>46016</v>
      </c>
      <c r="M47" s="29" t="s">
        <v>338</v>
      </c>
      <c r="N47" s="29" t="s">
        <v>128</v>
      </c>
      <c r="O47" s="29" t="s">
        <v>17</v>
      </c>
      <c r="P47" s="29" t="s">
        <v>221</v>
      </c>
      <c r="Q47" s="32"/>
      <c r="R47" s="14" t="s">
        <v>1222</v>
      </c>
      <c r="S47" s="37"/>
      <c r="T47" s="38"/>
      <c r="U47" s="30"/>
      <c r="V47" s="39"/>
      <c r="W47" s="40"/>
      <c r="X47" s="39"/>
      <c r="Y47" s="41"/>
      <c r="Z47" s="9"/>
      <c r="AA47" s="9"/>
      <c r="AB47" s="9"/>
      <c r="AC47" s="7">
        <v>14792</v>
      </c>
      <c r="AD47" s="33"/>
      <c r="AE47" s="33"/>
      <c r="AF47" s="33"/>
      <c r="AG47" s="50">
        <f t="shared" si="0"/>
        <v>46396</v>
      </c>
      <c r="AH47" s="44"/>
      <c r="AI47" s="45"/>
      <c r="AJ47" s="36"/>
      <c r="AK47" s="36"/>
    </row>
    <row r="48" spans="1:37" x14ac:dyDescent="0.3">
      <c r="A48" s="31"/>
      <c r="B48" s="13">
        <v>46216</v>
      </c>
      <c r="C48" s="70">
        <v>10024359</v>
      </c>
      <c r="D48" s="61" t="s">
        <v>1752</v>
      </c>
      <c r="E48" s="30" t="s">
        <v>1752</v>
      </c>
      <c r="F48" s="65" t="s">
        <v>1638</v>
      </c>
      <c r="G48" s="30" t="s">
        <v>1698</v>
      </c>
      <c r="H48" s="15" t="s">
        <v>252</v>
      </c>
      <c r="I48" s="63" t="s">
        <v>916</v>
      </c>
      <c r="J48" s="15"/>
      <c r="K48" s="29">
        <v>45896</v>
      </c>
      <c r="L48" s="29">
        <v>46023</v>
      </c>
      <c r="M48" s="29" t="s">
        <v>211</v>
      </c>
      <c r="N48" s="29" t="s">
        <v>613</v>
      </c>
      <c r="O48" s="29" t="s">
        <v>24</v>
      </c>
      <c r="P48" s="29" t="s">
        <v>212</v>
      </c>
      <c r="Q48" s="32"/>
      <c r="R48" s="14" t="s">
        <v>1222</v>
      </c>
      <c r="S48" s="37"/>
      <c r="T48" s="38"/>
      <c r="U48" s="30"/>
      <c r="V48" s="39"/>
      <c r="W48" s="40"/>
      <c r="X48" s="39"/>
      <c r="Y48" s="41"/>
      <c r="Z48" s="9"/>
      <c r="AA48" s="9"/>
      <c r="AB48" s="9"/>
      <c r="AC48" s="7">
        <v>8121</v>
      </c>
      <c r="AD48" s="33"/>
      <c r="AE48" s="33"/>
      <c r="AF48" s="33"/>
      <c r="AG48" s="50">
        <f t="shared" si="0"/>
        <v>46396</v>
      </c>
      <c r="AH48" s="44"/>
      <c r="AI48" s="45"/>
      <c r="AJ48" s="36"/>
      <c r="AK48" s="36"/>
    </row>
    <row r="49" spans="1:37" x14ac:dyDescent="0.3">
      <c r="A49" s="31"/>
      <c r="B49" s="13">
        <v>46216</v>
      </c>
      <c r="C49" s="70">
        <v>14923</v>
      </c>
      <c r="D49" s="61" t="s">
        <v>1754</v>
      </c>
      <c r="E49" s="61" t="s">
        <v>1713</v>
      </c>
      <c r="F49" s="65" t="s">
        <v>1640</v>
      </c>
      <c r="G49" s="30" t="s">
        <v>1702</v>
      </c>
      <c r="H49" s="15" t="s">
        <v>253</v>
      </c>
      <c r="I49" s="63" t="s">
        <v>916</v>
      </c>
      <c r="J49" s="15"/>
      <c r="K49" s="29">
        <v>44237</v>
      </c>
      <c r="L49" s="29">
        <v>45638</v>
      </c>
      <c r="M49" s="29" t="s">
        <v>213</v>
      </c>
      <c r="N49" s="29" t="s">
        <v>108</v>
      </c>
      <c r="O49" s="29" t="s">
        <v>23</v>
      </c>
      <c r="P49" s="29" t="s">
        <v>214</v>
      </c>
      <c r="Q49" s="32">
        <v>45292</v>
      </c>
      <c r="R49" s="14" t="s">
        <v>1222</v>
      </c>
      <c r="S49" s="37"/>
      <c r="T49" s="38"/>
      <c r="U49" s="30"/>
      <c r="V49" s="39"/>
      <c r="W49" s="40"/>
      <c r="X49" s="39"/>
      <c r="Y49" s="41"/>
      <c r="Z49" s="9"/>
      <c r="AA49" s="9"/>
      <c r="AB49" s="9"/>
      <c r="AC49" s="7">
        <v>139613</v>
      </c>
      <c r="AD49" s="33"/>
      <c r="AE49" s="33"/>
      <c r="AF49" s="33"/>
      <c r="AG49" s="50">
        <f t="shared" si="0"/>
        <v>46396</v>
      </c>
      <c r="AH49" s="44"/>
      <c r="AI49" s="45"/>
      <c r="AJ49" s="36"/>
      <c r="AK49" s="36"/>
    </row>
    <row r="50" spans="1:37" x14ac:dyDescent="0.3">
      <c r="A50" s="31"/>
      <c r="B50" s="13">
        <v>46216</v>
      </c>
      <c r="C50" s="70">
        <v>10024737</v>
      </c>
      <c r="D50" s="61" t="s">
        <v>1761</v>
      </c>
      <c r="E50" s="30" t="s">
        <v>1761</v>
      </c>
      <c r="F50" s="65" t="s">
        <v>1650</v>
      </c>
      <c r="G50" s="30" t="s">
        <v>1703</v>
      </c>
      <c r="H50" s="15" t="s">
        <v>252</v>
      </c>
      <c r="I50" s="63"/>
      <c r="J50" s="15"/>
      <c r="K50" s="29">
        <v>45964</v>
      </c>
      <c r="L50" s="29">
        <v>46035</v>
      </c>
      <c r="M50" s="29" t="s">
        <v>595</v>
      </c>
      <c r="N50" s="29" t="s">
        <v>289</v>
      </c>
      <c r="O50" s="29" t="s">
        <v>17</v>
      </c>
      <c r="P50" s="29" t="s">
        <v>212</v>
      </c>
      <c r="Q50" s="32"/>
      <c r="R50" s="14" t="s">
        <v>1222</v>
      </c>
      <c r="S50" s="37"/>
      <c r="T50" s="38"/>
      <c r="U50" s="30"/>
      <c r="V50" s="39"/>
      <c r="W50" s="40"/>
      <c r="X50" s="39"/>
      <c r="Y50" s="41"/>
      <c r="Z50" s="9"/>
      <c r="AA50" s="9"/>
      <c r="AB50" s="9"/>
      <c r="AC50" s="7">
        <v>9232</v>
      </c>
      <c r="AD50" s="33"/>
      <c r="AE50" s="33"/>
      <c r="AF50" s="33"/>
      <c r="AG50" s="50">
        <f t="shared" si="0"/>
        <v>46396</v>
      </c>
      <c r="AH50" s="44"/>
      <c r="AI50" s="45"/>
      <c r="AJ50" s="36"/>
      <c r="AK50" s="36"/>
    </row>
    <row r="51" spans="1:37" x14ac:dyDescent="0.3">
      <c r="A51" s="31"/>
      <c r="B51" s="13">
        <v>46216</v>
      </c>
      <c r="C51" s="70">
        <v>10024894</v>
      </c>
      <c r="D51" s="61" t="s">
        <v>1762</v>
      </c>
      <c r="E51" s="30" t="s">
        <v>1762</v>
      </c>
      <c r="F51" s="65" t="s">
        <v>1651</v>
      </c>
      <c r="G51" s="30" t="s">
        <v>1699</v>
      </c>
      <c r="H51" s="15" t="s">
        <v>253</v>
      </c>
      <c r="I51" s="63" t="s">
        <v>916</v>
      </c>
      <c r="J51" s="15"/>
      <c r="K51" s="29">
        <v>45962</v>
      </c>
      <c r="L51" s="29">
        <v>46061</v>
      </c>
      <c r="M51" s="29" t="s">
        <v>220</v>
      </c>
      <c r="N51" s="29" t="s">
        <v>125</v>
      </c>
      <c r="O51" s="29" t="s">
        <v>17</v>
      </c>
      <c r="P51" s="29" t="s">
        <v>221</v>
      </c>
      <c r="Q51" s="32"/>
      <c r="R51" s="14" t="s">
        <v>1222</v>
      </c>
      <c r="S51" s="37"/>
      <c r="T51" s="38"/>
      <c r="U51" s="30"/>
      <c r="V51" s="39"/>
      <c r="W51" s="40"/>
      <c r="X51" s="39"/>
      <c r="Y51" s="41"/>
      <c r="Z51" s="9"/>
      <c r="AA51" s="9"/>
      <c r="AB51" s="9"/>
      <c r="AC51" s="7">
        <v>4314</v>
      </c>
      <c r="AD51" s="33"/>
      <c r="AE51" s="33"/>
      <c r="AF51" s="33"/>
      <c r="AG51" s="50">
        <f t="shared" si="0"/>
        <v>46396</v>
      </c>
      <c r="AH51" s="44"/>
      <c r="AI51" s="45"/>
      <c r="AJ51" s="36"/>
      <c r="AK51" s="36"/>
    </row>
    <row r="52" spans="1:37" x14ac:dyDescent="0.3">
      <c r="A52" s="31"/>
      <c r="B52" s="13">
        <v>46216</v>
      </c>
      <c r="C52" s="70">
        <v>10022957</v>
      </c>
      <c r="D52" s="61" t="s">
        <v>1772</v>
      </c>
      <c r="E52" s="30" t="s">
        <v>1772</v>
      </c>
      <c r="F52" s="65" t="s">
        <v>1667</v>
      </c>
      <c r="G52" s="30" t="s">
        <v>1700</v>
      </c>
      <c r="H52" s="15" t="s">
        <v>252</v>
      </c>
      <c r="I52" s="63"/>
      <c r="J52" s="15"/>
      <c r="K52" s="29">
        <v>45669</v>
      </c>
      <c r="L52" s="29">
        <v>46054</v>
      </c>
      <c r="M52" s="29" t="s">
        <v>211</v>
      </c>
      <c r="N52" s="29" t="s">
        <v>126</v>
      </c>
      <c r="O52" s="29" t="s">
        <v>23</v>
      </c>
      <c r="P52" s="29" t="s">
        <v>212</v>
      </c>
      <c r="Q52" s="32"/>
      <c r="R52" s="14" t="s">
        <v>1222</v>
      </c>
      <c r="S52" s="37"/>
      <c r="T52" s="38"/>
      <c r="U52" s="30"/>
      <c r="V52" s="39"/>
      <c r="W52" s="40"/>
      <c r="X52" s="39"/>
      <c r="Y52" s="41"/>
      <c r="Z52" s="9"/>
      <c r="AA52" s="9"/>
      <c r="AB52" s="9"/>
      <c r="AC52" s="7">
        <v>19647</v>
      </c>
      <c r="AD52" s="33"/>
      <c r="AE52" s="33"/>
      <c r="AF52" s="33"/>
      <c r="AG52" s="50">
        <f t="shared" si="0"/>
        <v>46396</v>
      </c>
      <c r="AH52" s="44"/>
      <c r="AI52" s="45"/>
      <c r="AJ52" s="36"/>
      <c r="AK52" s="36"/>
    </row>
    <row r="53" spans="1:37" x14ac:dyDescent="0.3">
      <c r="A53" s="31"/>
      <c r="B53" s="13">
        <v>46216</v>
      </c>
      <c r="C53" s="70">
        <v>12639</v>
      </c>
      <c r="D53" s="61" t="s">
        <v>1782</v>
      </c>
      <c r="E53" s="30" t="s">
        <v>1782</v>
      </c>
      <c r="F53" s="65" t="s">
        <v>1678</v>
      </c>
      <c r="G53" s="30" t="s">
        <v>1704</v>
      </c>
      <c r="H53" s="15" t="s">
        <v>252</v>
      </c>
      <c r="I53" s="63"/>
      <c r="J53" s="15"/>
      <c r="K53" s="29">
        <v>43564</v>
      </c>
      <c r="L53" s="29">
        <v>45931</v>
      </c>
      <c r="M53" s="29" t="s">
        <v>219</v>
      </c>
      <c r="N53" s="29" t="s">
        <v>126</v>
      </c>
      <c r="O53" s="29" t="s">
        <v>23</v>
      </c>
      <c r="P53" s="29" t="s">
        <v>214</v>
      </c>
      <c r="Q53" s="32">
        <v>44562</v>
      </c>
      <c r="R53" s="14" t="s">
        <v>1222</v>
      </c>
      <c r="S53" s="37"/>
      <c r="T53" s="38"/>
      <c r="U53" s="30"/>
      <c r="V53" s="39"/>
      <c r="W53" s="40"/>
      <c r="X53" s="39"/>
      <c r="Y53" s="41"/>
      <c r="Z53" s="9"/>
      <c r="AA53" s="9"/>
      <c r="AB53" s="9"/>
      <c r="AC53" s="7">
        <v>329222</v>
      </c>
      <c r="AD53" s="33"/>
      <c r="AE53" s="33"/>
      <c r="AF53" s="33"/>
      <c r="AG53" s="50">
        <f t="shared" si="0"/>
        <v>46396</v>
      </c>
      <c r="AH53" s="44"/>
      <c r="AI53" s="45"/>
      <c r="AJ53" s="36"/>
      <c r="AK53" s="36"/>
    </row>
    <row r="54" spans="1:37" x14ac:dyDescent="0.3">
      <c r="A54" s="31"/>
      <c r="B54" s="13">
        <v>46216</v>
      </c>
      <c r="C54" s="70">
        <v>10025068</v>
      </c>
      <c r="D54" s="61" t="s">
        <v>1785</v>
      </c>
      <c r="E54" s="30" t="s">
        <v>1808</v>
      </c>
      <c r="F54" s="65" t="s">
        <v>1680</v>
      </c>
      <c r="G54" s="30" t="s">
        <v>1701</v>
      </c>
      <c r="H54" s="15" t="s">
        <v>252</v>
      </c>
      <c r="I54" s="63"/>
      <c r="J54" s="15"/>
      <c r="K54" s="29">
        <v>45977</v>
      </c>
      <c r="L54" s="29">
        <v>46090</v>
      </c>
      <c r="M54" s="29" t="s">
        <v>220</v>
      </c>
      <c r="N54" s="29" t="s">
        <v>150</v>
      </c>
      <c r="O54" s="29" t="s">
        <v>17</v>
      </c>
      <c r="P54" s="29" t="s">
        <v>221</v>
      </c>
      <c r="Q54" s="32"/>
      <c r="R54" s="14" t="s">
        <v>1222</v>
      </c>
      <c r="S54" s="37"/>
      <c r="T54" s="38"/>
      <c r="U54" s="30"/>
      <c r="V54" s="39"/>
      <c r="W54" s="40"/>
      <c r="X54" s="39"/>
      <c r="Y54" s="41"/>
      <c r="Z54" s="9"/>
      <c r="AA54" s="9"/>
      <c r="AB54" s="9"/>
      <c r="AC54" s="7">
        <v>4375</v>
      </c>
      <c r="AD54" s="33"/>
      <c r="AE54" s="33"/>
      <c r="AF54" s="33"/>
      <c r="AG54" s="50">
        <f t="shared" si="0"/>
        <v>46396</v>
      </c>
      <c r="AH54" s="44"/>
      <c r="AI54" s="45"/>
      <c r="AJ54" s="36"/>
      <c r="AK54" s="36"/>
    </row>
    <row r="55" spans="1:37" x14ac:dyDescent="0.3">
      <c r="A55" s="31"/>
      <c r="B55" s="13">
        <v>46216</v>
      </c>
      <c r="C55" s="70">
        <v>10019324</v>
      </c>
      <c r="D55" s="61" t="s">
        <v>1826</v>
      </c>
      <c r="E55" s="30" t="s">
        <v>1725</v>
      </c>
      <c r="F55" s="65" t="s">
        <v>1682</v>
      </c>
      <c r="G55" s="30" t="s">
        <v>1705</v>
      </c>
      <c r="H55" s="15" t="s">
        <v>252</v>
      </c>
      <c r="I55" s="63" t="s">
        <v>916</v>
      </c>
      <c r="J55" s="15"/>
      <c r="K55" s="29">
        <v>45132</v>
      </c>
      <c r="L55" s="29">
        <v>45416</v>
      </c>
      <c r="M55" s="29" t="s">
        <v>211</v>
      </c>
      <c r="N55" s="29" t="s">
        <v>160</v>
      </c>
      <c r="O55" s="29" t="s">
        <v>24</v>
      </c>
      <c r="P55" s="29" t="s">
        <v>212</v>
      </c>
      <c r="Q55" s="32"/>
      <c r="R55" s="14" t="s">
        <v>1222</v>
      </c>
      <c r="S55" s="37"/>
      <c r="T55" s="38"/>
      <c r="U55" s="30"/>
      <c r="V55" s="39"/>
      <c r="W55" s="40"/>
      <c r="X55" s="39"/>
      <c r="Y55" s="41"/>
      <c r="Z55" s="9"/>
      <c r="AA55" s="9"/>
      <c r="AB55" s="9"/>
      <c r="AC55" s="7">
        <v>9879</v>
      </c>
      <c r="AD55" s="33"/>
      <c r="AE55" s="33"/>
      <c r="AF55" s="33"/>
      <c r="AG55" s="50">
        <f t="shared" si="0"/>
        <v>46396</v>
      </c>
      <c r="AH55" s="44"/>
      <c r="AI55" s="45"/>
      <c r="AJ55" s="36"/>
      <c r="AK55" s="36"/>
    </row>
    <row r="56" spans="1:37" x14ac:dyDescent="0.3">
      <c r="A56" s="31"/>
      <c r="B56" s="13">
        <v>46216</v>
      </c>
      <c r="C56" s="70">
        <v>40016447</v>
      </c>
      <c r="D56" s="61"/>
      <c r="E56" s="30"/>
      <c r="F56" s="65" t="s">
        <v>1690</v>
      </c>
      <c r="G56" s="30"/>
      <c r="H56" s="15" t="s">
        <v>259</v>
      </c>
      <c r="I56" s="63"/>
      <c r="J56" s="15"/>
      <c r="K56" s="29">
        <v>45007</v>
      </c>
      <c r="L56" s="29">
        <v>45790</v>
      </c>
      <c r="M56" s="29" t="s">
        <v>297</v>
      </c>
      <c r="N56" s="29" t="s">
        <v>194</v>
      </c>
      <c r="O56" s="29" t="s">
        <v>27</v>
      </c>
      <c r="P56" s="29" t="s">
        <v>221</v>
      </c>
      <c r="Q56" s="32"/>
      <c r="R56" s="14" t="s">
        <v>1222</v>
      </c>
      <c r="S56" s="37"/>
      <c r="T56" s="38"/>
      <c r="U56" s="30"/>
      <c r="V56" s="39"/>
      <c r="W56" s="40"/>
      <c r="X56" s="39"/>
      <c r="Y56" s="41"/>
      <c r="Z56" s="9"/>
      <c r="AA56" s="9"/>
      <c r="AB56" s="9"/>
      <c r="AC56" s="7">
        <v>8243</v>
      </c>
      <c r="AD56" s="33"/>
      <c r="AE56" s="33"/>
      <c r="AF56" s="33"/>
      <c r="AG56" s="50">
        <f t="shared" si="0"/>
        <v>46396</v>
      </c>
      <c r="AH56" s="44"/>
      <c r="AI56" s="45"/>
      <c r="AJ56" s="36"/>
      <c r="AK56" s="36"/>
    </row>
    <row r="57" spans="1:37" x14ac:dyDescent="0.3">
      <c r="A57" s="43"/>
      <c r="B57" s="13">
        <v>46226</v>
      </c>
      <c r="C57" s="70">
        <v>10025086</v>
      </c>
      <c r="D57" s="59" t="s">
        <v>1893</v>
      </c>
      <c r="E57" s="59" t="s">
        <v>1893</v>
      </c>
      <c r="F57" s="81" t="s">
        <v>1878</v>
      </c>
      <c r="G57" s="65" t="s">
        <v>1879</v>
      </c>
      <c r="H57" s="15" t="s">
        <v>252</v>
      </c>
      <c r="I57" s="15"/>
      <c r="J57" s="15"/>
      <c r="K57" s="29">
        <v>46006</v>
      </c>
      <c r="L57" s="29">
        <v>46148</v>
      </c>
      <c r="M57" s="29" t="s">
        <v>321</v>
      </c>
      <c r="N57" s="29" t="s">
        <v>121</v>
      </c>
      <c r="O57" s="29" t="s">
        <v>28</v>
      </c>
      <c r="P57" s="29" t="s">
        <v>217</v>
      </c>
      <c r="Q57" s="32"/>
      <c r="R57" s="14" t="s">
        <v>1222</v>
      </c>
      <c r="S57" s="37"/>
      <c r="T57" s="38"/>
      <c r="U57" s="30"/>
      <c r="V57" s="39"/>
      <c r="W57" s="40"/>
      <c r="X57" s="39"/>
      <c r="Y57" s="41"/>
      <c r="Z57" s="9"/>
      <c r="AA57" s="9"/>
      <c r="AB57" s="9"/>
      <c r="AC57" s="82">
        <v>5161</v>
      </c>
      <c r="AD57" s="33"/>
      <c r="AE57" s="33"/>
      <c r="AF57" s="33"/>
      <c r="AG57" s="50">
        <f t="shared" si="0"/>
        <v>46406</v>
      </c>
      <c r="AH57" s="44"/>
      <c r="AI57" s="45"/>
      <c r="AJ57" s="36"/>
      <c r="AK57" s="36"/>
    </row>
    <row r="58" spans="1:37" x14ac:dyDescent="0.3">
      <c r="A58" s="43"/>
      <c r="B58" s="13">
        <v>46254</v>
      </c>
      <c r="C58" s="70">
        <v>10021528</v>
      </c>
      <c r="D58" s="61" t="s">
        <v>1949</v>
      </c>
      <c r="E58" s="111" t="s">
        <v>1949</v>
      </c>
      <c r="F58" s="60" t="s">
        <v>1364</v>
      </c>
      <c r="G58" s="63" t="s">
        <v>1924</v>
      </c>
      <c r="H58" s="15" t="s">
        <v>252</v>
      </c>
      <c r="I58" s="15"/>
      <c r="J58" s="15"/>
      <c r="K58" s="29">
        <v>45499</v>
      </c>
      <c r="L58" s="29">
        <v>45915</v>
      </c>
      <c r="M58" s="29" t="s">
        <v>215</v>
      </c>
      <c r="N58" s="29" t="s">
        <v>133</v>
      </c>
      <c r="O58" s="29" t="s">
        <v>22</v>
      </c>
      <c r="P58" s="29" t="s">
        <v>223</v>
      </c>
      <c r="Q58" s="32"/>
      <c r="R58" s="14" t="s">
        <v>1222</v>
      </c>
      <c r="S58" s="37"/>
      <c r="T58" s="38"/>
      <c r="U58" s="30"/>
      <c r="V58" s="39"/>
      <c r="W58" s="40"/>
      <c r="X58" s="39"/>
      <c r="Y58" s="41"/>
      <c r="Z58" s="9"/>
      <c r="AA58" s="9"/>
      <c r="AB58" s="9"/>
      <c r="AC58" s="7">
        <v>67141</v>
      </c>
      <c r="AD58" s="33"/>
      <c r="AE58" s="33"/>
      <c r="AF58" s="33"/>
      <c r="AG58" s="50">
        <f t="shared" si="0"/>
        <v>46434</v>
      </c>
      <c r="AH58" s="44"/>
      <c r="AI58" s="45"/>
      <c r="AJ58" s="36"/>
      <c r="AK58" s="36"/>
    </row>
    <row r="59" spans="1:37" x14ac:dyDescent="0.3">
      <c r="A59" s="43"/>
      <c r="B59" s="13">
        <v>46254</v>
      </c>
      <c r="C59" s="70">
        <v>10021555</v>
      </c>
      <c r="D59" s="61" t="s">
        <v>1951</v>
      </c>
      <c r="E59" s="111" t="s">
        <v>1951</v>
      </c>
      <c r="F59" s="60" t="s">
        <v>665</v>
      </c>
      <c r="G59" s="63" t="s">
        <v>1925</v>
      </c>
      <c r="H59" s="15" t="s">
        <v>252</v>
      </c>
      <c r="I59" s="15"/>
      <c r="J59" s="15"/>
      <c r="K59" s="29">
        <v>45488</v>
      </c>
      <c r="L59" s="29">
        <v>46032</v>
      </c>
      <c r="M59" s="29" t="s">
        <v>211</v>
      </c>
      <c r="N59" s="29" t="s">
        <v>92</v>
      </c>
      <c r="O59" s="29" t="s">
        <v>16</v>
      </c>
      <c r="P59" s="29" t="s">
        <v>212</v>
      </c>
      <c r="Q59" s="32"/>
      <c r="R59" s="14" t="s">
        <v>1222</v>
      </c>
      <c r="S59" s="37"/>
      <c r="T59" s="38"/>
      <c r="U59" s="30"/>
      <c r="V59" s="39"/>
      <c r="W59" s="40"/>
      <c r="X59" s="39"/>
      <c r="Y59" s="41"/>
      <c r="Z59" s="9"/>
      <c r="AA59" s="9"/>
      <c r="AB59" s="9"/>
      <c r="AC59" s="7">
        <v>51903</v>
      </c>
      <c r="AD59" s="33"/>
      <c r="AE59" s="33"/>
      <c r="AF59" s="33"/>
      <c r="AG59" s="50">
        <f t="shared" si="0"/>
        <v>46434</v>
      </c>
      <c r="AH59" s="44"/>
      <c r="AI59" s="45"/>
      <c r="AJ59" s="36"/>
      <c r="AK59" s="36"/>
    </row>
    <row r="60" spans="1:37" x14ac:dyDescent="0.3">
      <c r="A60" s="43"/>
      <c r="B60" s="13">
        <v>46254</v>
      </c>
      <c r="C60" s="70">
        <v>10022341</v>
      </c>
      <c r="D60" s="61" t="s">
        <v>1955</v>
      </c>
      <c r="E60" s="111" t="s">
        <v>1955</v>
      </c>
      <c r="F60" s="60" t="s">
        <v>1917</v>
      </c>
      <c r="G60" s="63" t="s">
        <v>1696</v>
      </c>
      <c r="H60" s="15" t="s">
        <v>252</v>
      </c>
      <c r="I60" s="15"/>
      <c r="J60" s="15"/>
      <c r="K60" s="29">
        <v>45609</v>
      </c>
      <c r="L60" s="29">
        <v>46054</v>
      </c>
      <c r="M60" s="29" t="s">
        <v>211</v>
      </c>
      <c r="N60" s="29" t="s">
        <v>110</v>
      </c>
      <c r="O60" s="29" t="s">
        <v>23</v>
      </c>
      <c r="P60" s="29" t="s">
        <v>212</v>
      </c>
      <c r="Q60" s="32"/>
      <c r="R60" s="14" t="s">
        <v>1222</v>
      </c>
      <c r="S60" s="37"/>
      <c r="T60" s="38"/>
      <c r="U60" s="30"/>
      <c r="V60" s="39"/>
      <c r="W60" s="40"/>
      <c r="X60" s="39"/>
      <c r="Y60" s="41"/>
      <c r="Z60" s="9"/>
      <c r="AA60" s="9"/>
      <c r="AB60" s="9"/>
      <c r="AC60" s="7">
        <v>30168</v>
      </c>
      <c r="AD60" s="33"/>
      <c r="AE60" s="33"/>
      <c r="AF60" s="33"/>
      <c r="AG60" s="50">
        <f t="shared" si="0"/>
        <v>46434</v>
      </c>
      <c r="AH60" s="44"/>
      <c r="AI60" s="45"/>
      <c r="AJ60" s="36"/>
      <c r="AK60" s="36"/>
    </row>
    <row r="61" spans="1:37" x14ac:dyDescent="0.3">
      <c r="A61" s="43"/>
      <c r="B61" s="13">
        <v>46254</v>
      </c>
      <c r="C61" s="70">
        <v>10019681</v>
      </c>
      <c r="D61" s="61" t="s">
        <v>1956</v>
      </c>
      <c r="E61" s="111" t="s">
        <v>1956</v>
      </c>
      <c r="F61" s="60" t="s">
        <v>1918</v>
      </c>
      <c r="G61" s="63" t="s">
        <v>1928</v>
      </c>
      <c r="H61" s="15" t="s">
        <v>246</v>
      </c>
      <c r="I61" s="15"/>
      <c r="J61" s="15"/>
      <c r="K61" s="29">
        <v>45190</v>
      </c>
      <c r="L61" s="29">
        <v>46023</v>
      </c>
      <c r="M61" s="29" t="s">
        <v>211</v>
      </c>
      <c r="N61" s="29" t="s">
        <v>142</v>
      </c>
      <c r="O61" s="29" t="s">
        <v>23</v>
      </c>
      <c r="P61" s="29" t="s">
        <v>212</v>
      </c>
      <c r="Q61" s="32"/>
      <c r="R61" s="14" t="s">
        <v>1222</v>
      </c>
      <c r="S61" s="37"/>
      <c r="T61" s="38"/>
      <c r="U61" s="30"/>
      <c r="V61" s="39"/>
      <c r="W61" s="40"/>
      <c r="X61" s="39"/>
      <c r="Y61" s="41"/>
      <c r="Z61" s="9"/>
      <c r="AA61" s="9"/>
      <c r="AB61" s="9"/>
      <c r="AC61" s="7">
        <v>43362</v>
      </c>
      <c r="AD61" s="33"/>
      <c r="AE61" s="33"/>
      <c r="AF61" s="33"/>
      <c r="AG61" s="50">
        <f t="shared" si="0"/>
        <v>46434</v>
      </c>
      <c r="AH61" s="44"/>
      <c r="AI61" s="45"/>
      <c r="AJ61" s="36"/>
      <c r="AK61" s="36"/>
    </row>
    <row r="62" spans="1:37" x14ac:dyDescent="0.3">
      <c r="A62" s="43"/>
      <c r="B62" s="13">
        <v>46254</v>
      </c>
      <c r="C62" s="70">
        <v>10018174</v>
      </c>
      <c r="D62" s="61" t="s">
        <v>1957</v>
      </c>
      <c r="E62" s="110" t="s">
        <v>1984</v>
      </c>
      <c r="F62" s="60" t="s">
        <v>1919</v>
      </c>
      <c r="G62" s="63" t="s">
        <v>1929</v>
      </c>
      <c r="H62" s="15" t="s">
        <v>1327</v>
      </c>
      <c r="I62" s="15" t="s">
        <v>1992</v>
      </c>
      <c r="J62" s="15"/>
      <c r="K62" s="29">
        <v>44941</v>
      </c>
      <c r="L62" s="29">
        <v>46113</v>
      </c>
      <c r="M62" s="29" t="s">
        <v>1930</v>
      </c>
      <c r="N62" s="29" t="s">
        <v>150</v>
      </c>
      <c r="O62" s="29" t="s">
        <v>17</v>
      </c>
      <c r="P62" s="29" t="s">
        <v>227</v>
      </c>
      <c r="Q62" s="32">
        <v>46023</v>
      </c>
      <c r="R62" s="14" t="s">
        <v>1222</v>
      </c>
      <c r="S62" s="37"/>
      <c r="T62" s="38"/>
      <c r="U62" s="30"/>
      <c r="V62" s="39"/>
      <c r="W62" s="40"/>
      <c r="X62" s="39"/>
      <c r="Y62" s="41"/>
      <c r="Z62" s="9"/>
      <c r="AA62" s="9"/>
      <c r="AB62" s="9"/>
      <c r="AC62" s="7">
        <v>53128</v>
      </c>
      <c r="AD62" s="33"/>
      <c r="AE62" s="33"/>
      <c r="AF62" s="33"/>
      <c r="AG62" s="50">
        <f t="shared" si="0"/>
        <v>46434</v>
      </c>
      <c r="AH62" s="44"/>
      <c r="AI62" s="45"/>
      <c r="AJ62" s="36"/>
      <c r="AK62" s="36"/>
    </row>
    <row r="63" spans="1:37" x14ac:dyDescent="0.3">
      <c r="A63" s="43"/>
      <c r="B63" s="13">
        <v>46254</v>
      </c>
      <c r="C63" s="70">
        <v>10021586</v>
      </c>
      <c r="D63" s="61" t="s">
        <v>1959</v>
      </c>
      <c r="E63" s="111" t="s">
        <v>1959</v>
      </c>
      <c r="F63" s="60" t="s">
        <v>68</v>
      </c>
      <c r="G63" s="63" t="s">
        <v>1931</v>
      </c>
      <c r="H63" s="15" t="s">
        <v>1327</v>
      </c>
      <c r="I63" s="15"/>
      <c r="J63" s="15"/>
      <c r="K63" s="29">
        <v>45508</v>
      </c>
      <c r="L63" s="29">
        <v>45992</v>
      </c>
      <c r="M63" s="29" t="s">
        <v>211</v>
      </c>
      <c r="N63" s="29" t="s">
        <v>613</v>
      </c>
      <c r="O63" s="29" t="s">
        <v>24</v>
      </c>
      <c r="P63" s="29" t="s">
        <v>212</v>
      </c>
      <c r="Q63" s="32"/>
      <c r="R63" s="14" t="s">
        <v>1222</v>
      </c>
      <c r="S63" s="37"/>
      <c r="T63" s="38"/>
      <c r="U63" s="30"/>
      <c r="V63" s="39"/>
      <c r="W63" s="40"/>
      <c r="X63" s="39"/>
      <c r="Y63" s="41"/>
      <c r="Z63" s="9"/>
      <c r="AA63" s="9"/>
      <c r="AB63" s="9"/>
      <c r="AC63" s="7">
        <v>32994</v>
      </c>
      <c r="AD63" s="33"/>
      <c r="AE63" s="33"/>
      <c r="AF63" s="33"/>
      <c r="AG63" s="50">
        <f t="shared" si="0"/>
        <v>46434</v>
      </c>
      <c r="AH63" s="44"/>
      <c r="AI63" s="45"/>
      <c r="AJ63" s="36"/>
      <c r="AK63" s="36"/>
    </row>
    <row r="64" spans="1:37" x14ac:dyDescent="0.3">
      <c r="A64" s="43"/>
      <c r="B64" s="13">
        <v>46254</v>
      </c>
      <c r="C64" s="70">
        <v>10024114</v>
      </c>
      <c r="D64" s="61" t="s">
        <v>1964</v>
      </c>
      <c r="E64" s="111" t="s">
        <v>1964</v>
      </c>
      <c r="F64" s="60" t="s">
        <v>1902</v>
      </c>
      <c r="G64" s="63" t="s">
        <v>1933</v>
      </c>
      <c r="H64" s="15" t="s">
        <v>252</v>
      </c>
      <c r="I64" s="15"/>
      <c r="J64" s="15"/>
      <c r="K64" s="29">
        <v>45858</v>
      </c>
      <c r="L64" s="29">
        <v>45992</v>
      </c>
      <c r="M64" s="29" t="s">
        <v>219</v>
      </c>
      <c r="N64" s="29" t="s">
        <v>152</v>
      </c>
      <c r="O64" s="29" t="s">
        <v>23</v>
      </c>
      <c r="P64" s="29" t="s">
        <v>214</v>
      </c>
      <c r="Q64" s="32"/>
      <c r="R64" s="14" t="s">
        <v>1222</v>
      </c>
      <c r="S64" s="37"/>
      <c r="T64" s="38"/>
      <c r="U64" s="30"/>
      <c r="V64" s="39"/>
      <c r="W64" s="40"/>
      <c r="X64" s="39"/>
      <c r="Y64" s="41"/>
      <c r="Z64" s="9"/>
      <c r="AA64" s="9"/>
      <c r="AB64" s="9"/>
      <c r="AC64" s="7">
        <v>11002</v>
      </c>
      <c r="AD64" s="33"/>
      <c r="AE64" s="33"/>
      <c r="AF64" s="33"/>
      <c r="AG64" s="50">
        <f t="shared" si="0"/>
        <v>46434</v>
      </c>
      <c r="AH64" s="44"/>
      <c r="AI64" s="45"/>
      <c r="AJ64" s="36"/>
      <c r="AK64" s="36"/>
    </row>
    <row r="65" spans="1:37" x14ac:dyDescent="0.3">
      <c r="A65" s="43"/>
      <c r="B65" s="13">
        <v>46254</v>
      </c>
      <c r="C65" s="70">
        <v>10022523</v>
      </c>
      <c r="D65" s="61" t="s">
        <v>1967</v>
      </c>
      <c r="E65" s="111" t="s">
        <v>1967</v>
      </c>
      <c r="F65" s="60" t="s">
        <v>1920</v>
      </c>
      <c r="G65" s="63" t="s">
        <v>1936</v>
      </c>
      <c r="H65" s="15" t="s">
        <v>252</v>
      </c>
      <c r="I65" s="15"/>
      <c r="J65" s="15"/>
      <c r="K65" s="29">
        <v>45629</v>
      </c>
      <c r="L65" s="29">
        <v>46054</v>
      </c>
      <c r="M65" s="29" t="s">
        <v>211</v>
      </c>
      <c r="N65" s="29" t="s">
        <v>120</v>
      </c>
      <c r="O65" s="29" t="s">
        <v>23</v>
      </c>
      <c r="P65" s="29" t="s">
        <v>212</v>
      </c>
      <c r="Q65" s="32"/>
      <c r="R65" s="14" t="s">
        <v>1222</v>
      </c>
      <c r="S65" s="37"/>
      <c r="T65" s="38"/>
      <c r="U65" s="30"/>
      <c r="V65" s="39"/>
      <c r="W65" s="40"/>
      <c r="X65" s="39"/>
      <c r="Y65" s="41"/>
      <c r="Z65" s="9"/>
      <c r="AA65" s="9"/>
      <c r="AB65" s="9"/>
      <c r="AC65" s="7">
        <v>13942</v>
      </c>
      <c r="AD65" s="33"/>
      <c r="AE65" s="33"/>
      <c r="AF65" s="33"/>
      <c r="AG65" s="50">
        <f t="shared" si="0"/>
        <v>46434</v>
      </c>
      <c r="AH65" s="44"/>
      <c r="AI65" s="45"/>
      <c r="AJ65" s="36"/>
      <c r="AK65" s="36"/>
    </row>
    <row r="66" spans="1:37" x14ac:dyDescent="0.3">
      <c r="A66" s="43"/>
      <c r="B66" s="13">
        <v>46254</v>
      </c>
      <c r="C66" s="70">
        <v>10017733</v>
      </c>
      <c r="D66" s="61" t="s">
        <v>1969</v>
      </c>
      <c r="E66" s="110" t="s">
        <v>1985</v>
      </c>
      <c r="F66" s="60" t="s">
        <v>1906</v>
      </c>
      <c r="G66" s="63" t="s">
        <v>1937</v>
      </c>
      <c r="H66" s="15" t="s">
        <v>246</v>
      </c>
      <c r="I66" s="15"/>
      <c r="J66" s="15"/>
      <c r="K66" s="29">
        <v>44847</v>
      </c>
      <c r="L66" s="29">
        <v>46050</v>
      </c>
      <c r="M66" s="29" t="s">
        <v>219</v>
      </c>
      <c r="N66" s="29" t="s">
        <v>1210</v>
      </c>
      <c r="O66" s="29" t="s">
        <v>25</v>
      </c>
      <c r="P66" s="29" t="s">
        <v>214</v>
      </c>
      <c r="Q66" s="32">
        <v>45658</v>
      </c>
      <c r="R66" s="14" t="s">
        <v>1222</v>
      </c>
      <c r="S66" s="37"/>
      <c r="T66" s="38"/>
      <c r="U66" s="30"/>
      <c r="V66" s="39"/>
      <c r="W66" s="40"/>
      <c r="X66" s="39"/>
      <c r="Y66" s="41"/>
      <c r="Z66" s="9"/>
      <c r="AA66" s="9"/>
      <c r="AB66" s="9"/>
      <c r="AC66" s="7">
        <v>58796</v>
      </c>
      <c r="AD66" s="33"/>
      <c r="AE66" s="33"/>
      <c r="AF66" s="33"/>
      <c r="AG66" s="50">
        <f t="shared" si="0"/>
        <v>46434</v>
      </c>
      <c r="AH66" s="44"/>
      <c r="AI66" s="45"/>
      <c r="AJ66" s="36"/>
      <c r="AK66" s="36"/>
    </row>
    <row r="67" spans="1:37" x14ac:dyDescent="0.3">
      <c r="A67" s="43"/>
      <c r="B67" s="13">
        <v>46254</v>
      </c>
      <c r="C67" s="70">
        <v>10017785</v>
      </c>
      <c r="D67" s="61" t="s">
        <v>1970</v>
      </c>
      <c r="E67" s="111" t="s">
        <v>1938</v>
      </c>
      <c r="F67" s="60" t="s">
        <v>1907</v>
      </c>
      <c r="G67" s="63" t="s">
        <v>1939</v>
      </c>
      <c r="H67" s="15" t="s">
        <v>246</v>
      </c>
      <c r="I67" s="15"/>
      <c r="J67" s="15"/>
      <c r="K67" s="29">
        <v>44844</v>
      </c>
      <c r="L67" s="29">
        <v>45931</v>
      </c>
      <c r="M67" s="29" t="s">
        <v>219</v>
      </c>
      <c r="N67" s="29" t="s">
        <v>91</v>
      </c>
      <c r="O67" s="29" t="s">
        <v>16</v>
      </c>
      <c r="P67" s="29" t="s">
        <v>214</v>
      </c>
      <c r="Q67" s="32">
        <v>45658</v>
      </c>
      <c r="R67" s="14" t="s">
        <v>1222</v>
      </c>
      <c r="S67" s="37"/>
      <c r="T67" s="38"/>
      <c r="U67" s="30"/>
      <c r="V67" s="39"/>
      <c r="W67" s="40"/>
      <c r="X67" s="39"/>
      <c r="Y67" s="41"/>
      <c r="Z67" s="9"/>
      <c r="AA67" s="9"/>
      <c r="AB67" s="9"/>
      <c r="AC67" s="7">
        <v>35574</v>
      </c>
      <c r="AD67" s="33"/>
      <c r="AE67" s="33"/>
      <c r="AF67" s="33"/>
      <c r="AG67" s="50">
        <f t="shared" si="0"/>
        <v>46434</v>
      </c>
      <c r="AH67" s="44"/>
      <c r="AI67" s="45"/>
      <c r="AJ67" s="36"/>
      <c r="AK67" s="36"/>
    </row>
    <row r="68" spans="1:37" x14ac:dyDescent="0.3">
      <c r="A68" s="43"/>
      <c r="B68" s="13">
        <v>46254</v>
      </c>
      <c r="C68" s="70">
        <v>8761</v>
      </c>
      <c r="D68" s="61" t="s">
        <v>1971</v>
      </c>
      <c r="E68" s="111" t="s">
        <v>1986</v>
      </c>
      <c r="F68" s="60" t="s">
        <v>1908</v>
      </c>
      <c r="G68" s="63" t="s">
        <v>1940</v>
      </c>
      <c r="H68" s="15" t="s">
        <v>252</v>
      </c>
      <c r="I68" s="15" t="s">
        <v>1993</v>
      </c>
      <c r="J68" s="15"/>
      <c r="K68" s="29">
        <v>42665</v>
      </c>
      <c r="L68" s="29">
        <v>45416</v>
      </c>
      <c r="M68" s="29" t="s">
        <v>219</v>
      </c>
      <c r="N68" s="29" t="s">
        <v>106</v>
      </c>
      <c r="O68" s="29" t="s">
        <v>23</v>
      </c>
      <c r="P68" s="29" t="s">
        <v>214</v>
      </c>
      <c r="Q68" s="32"/>
      <c r="R68" s="14" t="s">
        <v>1222</v>
      </c>
      <c r="S68" s="37"/>
      <c r="T68" s="38"/>
      <c r="U68" s="30"/>
      <c r="V68" s="39"/>
      <c r="W68" s="40"/>
      <c r="X68" s="39"/>
      <c r="Y68" s="41"/>
      <c r="Z68" s="9"/>
      <c r="AA68" s="9"/>
      <c r="AB68" s="9"/>
      <c r="AC68" s="7">
        <v>401338</v>
      </c>
      <c r="AD68" s="33"/>
      <c r="AE68" s="33"/>
      <c r="AF68" s="33"/>
      <c r="AG68" s="50">
        <f t="shared" ref="AG68:AG70" si="1">B68+180</f>
        <v>46434</v>
      </c>
      <c r="AH68" s="44"/>
      <c r="AI68" s="45"/>
      <c r="AJ68" s="36"/>
      <c r="AK68" s="36"/>
    </row>
    <row r="69" spans="1:37" x14ac:dyDescent="0.3">
      <c r="A69" s="43"/>
      <c r="B69" s="13">
        <v>46254</v>
      </c>
      <c r="C69" s="70">
        <v>15266</v>
      </c>
      <c r="D69" s="61" t="s">
        <v>1972</v>
      </c>
      <c r="E69" s="111"/>
      <c r="F69" s="60" t="s">
        <v>1921</v>
      </c>
      <c r="G69" s="63" t="s">
        <v>1941</v>
      </c>
      <c r="H69" s="15" t="s">
        <v>252</v>
      </c>
      <c r="I69" s="15"/>
      <c r="J69" s="15"/>
      <c r="K69" s="29">
        <v>44291</v>
      </c>
      <c r="L69" s="29">
        <v>46090</v>
      </c>
      <c r="M69" s="29" t="s">
        <v>219</v>
      </c>
      <c r="N69" s="29" t="s">
        <v>111</v>
      </c>
      <c r="O69" s="29" t="s">
        <v>23</v>
      </c>
      <c r="P69" s="29" t="s">
        <v>214</v>
      </c>
      <c r="Q69" s="32">
        <v>45292</v>
      </c>
      <c r="R69" s="14" t="s">
        <v>1222</v>
      </c>
      <c r="S69" s="37"/>
      <c r="T69" s="38"/>
      <c r="U69" s="30"/>
      <c r="V69" s="39"/>
      <c r="W69" s="40"/>
      <c r="X69" s="39"/>
      <c r="Y69" s="41"/>
      <c r="Z69" s="9"/>
      <c r="AA69" s="9"/>
      <c r="AB69" s="9"/>
      <c r="AC69" s="7">
        <v>49866</v>
      </c>
      <c r="AD69" s="33"/>
      <c r="AE69" s="33"/>
      <c r="AF69" s="33"/>
      <c r="AG69" s="50">
        <f t="shared" si="1"/>
        <v>46434</v>
      </c>
      <c r="AH69" s="44"/>
      <c r="AI69" s="45"/>
      <c r="AJ69" s="36"/>
      <c r="AK69" s="36"/>
    </row>
    <row r="70" spans="1:37" x14ac:dyDescent="0.3">
      <c r="A70" s="43"/>
      <c r="B70" s="13">
        <v>46254</v>
      </c>
      <c r="C70" s="70">
        <v>4454</v>
      </c>
      <c r="D70" s="61" t="s">
        <v>1975</v>
      </c>
      <c r="E70" s="110" t="s">
        <v>1989</v>
      </c>
      <c r="F70" s="60" t="s">
        <v>1923</v>
      </c>
      <c r="G70" s="63" t="s">
        <v>1942</v>
      </c>
      <c r="H70" s="15" t="s">
        <v>252</v>
      </c>
      <c r="I70" s="15"/>
      <c r="J70" s="15"/>
      <c r="K70" s="29">
        <v>40964</v>
      </c>
      <c r="L70" s="29">
        <v>46094</v>
      </c>
      <c r="M70" s="29" t="s">
        <v>1943</v>
      </c>
      <c r="N70" s="29" t="s">
        <v>112</v>
      </c>
      <c r="O70" s="29" t="s">
        <v>17</v>
      </c>
      <c r="P70" s="29" t="s">
        <v>233</v>
      </c>
      <c r="Q70" s="32">
        <v>45292</v>
      </c>
      <c r="R70" s="14" t="s">
        <v>1222</v>
      </c>
      <c r="S70" s="37"/>
      <c r="T70" s="38"/>
      <c r="U70" s="30"/>
      <c r="V70" s="39"/>
      <c r="W70" s="40"/>
      <c r="X70" s="39"/>
      <c r="Y70" s="41"/>
      <c r="Z70" s="9"/>
      <c r="AA70" s="9"/>
      <c r="AB70" s="9"/>
      <c r="AC70" s="7">
        <v>209395</v>
      </c>
      <c r="AD70" s="33"/>
      <c r="AE70" s="33"/>
      <c r="AF70" s="33"/>
      <c r="AG70" s="50">
        <f t="shared" si="1"/>
        <v>46434</v>
      </c>
      <c r="AH70" s="44"/>
      <c r="AI70" s="45"/>
      <c r="AJ70" s="36"/>
      <c r="AK70" s="36"/>
    </row>
  </sheetData>
  <autoFilter ref="A1:AK70" xr:uid="{235093D0-E6B3-49AD-9040-FF8249F0CC6D}"/>
  <conditionalFormatting sqref="C1:C1048576">
    <cfRule type="duplicateValues" dxfId="2911" priority="1"/>
    <cfRule type="duplicateValues" dxfId="2910" priority="4"/>
  </conditionalFormatting>
  <conditionalFormatting sqref="C20">
    <cfRule type="duplicateValues" dxfId="2909" priority="13137"/>
    <cfRule type="duplicateValues" dxfId="2908" priority="13138"/>
    <cfRule type="duplicateValues" dxfId="2907" priority="13139"/>
  </conditionalFormatting>
  <conditionalFormatting sqref="C26">
    <cfRule type="duplicateValues" dxfId="2906" priority="2852"/>
    <cfRule type="duplicateValues" dxfId="2905" priority="2853"/>
    <cfRule type="duplicateValues" dxfId="2904" priority="2854"/>
  </conditionalFormatting>
  <conditionalFormatting sqref="C27:C28 C21:C25">
    <cfRule type="duplicateValues" dxfId="2903" priority="17130"/>
    <cfRule type="duplicateValues" dxfId="2902" priority="17131"/>
    <cfRule type="duplicateValues" dxfId="2901" priority="17132"/>
  </conditionalFormatting>
  <conditionalFormatting sqref="C29:C42">
    <cfRule type="duplicateValues" dxfId="2900" priority="23082"/>
    <cfRule type="duplicateValues" dxfId="2899" priority="23083"/>
    <cfRule type="duplicateValues" dxfId="2898" priority="23084"/>
  </conditionalFormatting>
  <conditionalFormatting sqref="C43:C56">
    <cfRule type="duplicateValues" dxfId="2897" priority="23028"/>
    <cfRule type="duplicateValues" dxfId="2896" priority="23029"/>
    <cfRule type="duplicateValues" dxfId="2895" priority="23030"/>
    <cfRule type="duplicateValues" dxfId="2894" priority="23031"/>
    <cfRule type="duplicateValues" dxfId="2893" priority="23032"/>
    <cfRule type="duplicateValues" dxfId="2892" priority="23033"/>
    <cfRule type="duplicateValues" dxfId="2891" priority="23034"/>
    <cfRule type="duplicateValues" dxfId="2890" priority="23035"/>
    <cfRule type="duplicateValues" dxfId="2889" priority="23036"/>
    <cfRule type="duplicateValues" dxfId="2888" priority="23037"/>
    <cfRule type="duplicateValues" dxfId="2887" priority="23038"/>
  </conditionalFormatting>
  <conditionalFormatting sqref="C57">
    <cfRule type="duplicateValues" dxfId="2886" priority="22481"/>
  </conditionalFormatting>
  <conditionalFormatting sqref="C58:C70">
    <cfRule type="duplicateValues" dxfId="2885" priority="23193"/>
  </conditionalFormatting>
  <conditionalFormatting sqref="C71:C1048576 C1:C56">
    <cfRule type="duplicateValues" dxfId="2884" priority="19"/>
  </conditionalFormatting>
  <conditionalFormatting sqref="C71:C1048576 C1:C57">
    <cfRule type="duplicateValues" dxfId="2883" priority="15"/>
  </conditionalFormatting>
  <conditionalFormatting sqref="D45:D56">
    <cfRule type="duplicateValues" dxfId="2882" priority="23054"/>
  </conditionalFormatting>
  <conditionalFormatting sqref="D71:D1048576 D1:D44">
    <cfRule type="duplicateValues" dxfId="2881" priority="2825"/>
  </conditionalFormatting>
  <conditionalFormatting sqref="D71:D1048576 D1:D56">
    <cfRule type="duplicateValues" dxfId="2880" priority="2168"/>
  </conditionalFormatting>
  <conditionalFormatting sqref="E35:E36 E3:E15 E17:E26 E28:E29 E38:E40">
    <cfRule type="duplicateValues" dxfId="2879" priority="22404"/>
  </conditionalFormatting>
  <conditionalFormatting sqref="E37 E34">
    <cfRule type="duplicateValues" dxfId="2878" priority="13361"/>
  </conditionalFormatting>
  <conditionalFormatting sqref="E41:E42">
    <cfRule type="duplicateValues" dxfId="2877" priority="22910"/>
  </conditionalFormatting>
  <conditionalFormatting sqref="E43:E44">
    <cfRule type="duplicateValues" dxfId="2876" priority="22477"/>
  </conditionalFormatting>
  <conditionalFormatting sqref="E45:E56">
    <cfRule type="duplicateValues" dxfId="2875" priority="23059"/>
  </conditionalFormatting>
  <conditionalFormatting sqref="E71:E1048576 E1:E56">
    <cfRule type="duplicateValues" dxfId="2874" priority="2167"/>
  </conditionalFormatting>
  <conditionalFormatting sqref="C1:C19">
    <cfRule type="duplicateValues" dxfId="2873" priority="23194"/>
    <cfRule type="duplicateValues" dxfId="2872" priority="23195"/>
    <cfRule type="duplicateValues" dxfId="2871" priority="23196"/>
    <cfRule type="duplicateValues" dxfId="2870" priority="23197"/>
    <cfRule type="duplicateValues" dxfId="2869" priority="23198"/>
    <cfRule type="duplicateValues" dxfId="2868" priority="23199"/>
    <cfRule type="duplicateValues" dxfId="2867" priority="23200"/>
    <cfRule type="duplicateValues" dxfId="2866" priority="23201"/>
    <cfRule type="duplicateValues" dxfId="2865" priority="23202"/>
    <cfRule type="duplicateValues" dxfId="2864" priority="23203"/>
    <cfRule type="duplicateValues" dxfId="2863" priority="23204"/>
    <cfRule type="duplicateValues" dxfId="2862" priority="23205"/>
    <cfRule type="duplicateValues" dxfId="2861" priority="23206"/>
    <cfRule type="duplicateValues" dxfId="2860" priority="23207"/>
    <cfRule type="duplicateValues" dxfId="2859" priority="23208"/>
    <cfRule type="duplicateValues" dxfId="2858" priority="23209"/>
    <cfRule type="duplicateValues" dxfId="2857" priority="23210"/>
  </conditionalFormatting>
  <conditionalFormatting sqref="C1:C42">
    <cfRule type="duplicateValues" dxfId="2856" priority="23211"/>
    <cfRule type="duplicateValues" dxfId="2855" priority="23212"/>
    <cfRule type="duplicateValues" dxfId="2854" priority="23213"/>
    <cfRule type="duplicateValues" dxfId="2853" priority="23214"/>
    <cfRule type="duplicateValues" dxfId="2852" priority="23215"/>
    <cfRule type="duplicateValues" dxfId="2851" priority="23216"/>
    <cfRule type="duplicateValues" dxfId="2850" priority="23217"/>
    <cfRule type="duplicateValues" dxfId="2849" priority="23218"/>
  </conditionalFormatting>
  <conditionalFormatting sqref="C1:C56">
    <cfRule type="duplicateValues" dxfId="2848" priority="23219"/>
    <cfRule type="duplicateValues" dxfId="2847" priority="23220"/>
    <cfRule type="duplicateValues" dxfId="2846" priority="23221"/>
    <cfRule type="duplicateValues" dxfId="2845" priority="23222"/>
    <cfRule type="duplicateValues" dxfId="2844" priority="23223"/>
    <cfRule type="duplicateValues" dxfId="2843" priority="23224"/>
    <cfRule type="duplicateValues" dxfId="2842" priority="23225"/>
    <cfRule type="duplicateValues" dxfId="2841" priority="23226"/>
    <cfRule type="duplicateValues" dxfId="2840" priority="23227"/>
    <cfRule type="duplicateValues" dxfId="2839" priority="23228"/>
  </conditionalFormatting>
  <dataValidations count="1">
    <dataValidation type="list" allowBlank="1" showInputMessage="1" showErrorMessage="1" sqref="H2:H70" xr:uid="{87F9CF71-076C-45ED-814A-F612F2735852}">
      <formula1>#REF!</formula1>
    </dataValidation>
  </dataValidations>
  <pageMargins left="0.7" right="0.7" top="0.75" bottom="0.75" header="0.3" footer="0.3"/>
  <pageSetup paperSize="9" scale="99" orientation="landscape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27F0-8081-4BBE-8B39-EE330E698353}">
  <sheetPr codeName="Sheet2"/>
  <dimension ref="A1:AK719"/>
  <sheetViews>
    <sheetView topLeftCell="A435" zoomScale="70" zoomScaleNormal="84" workbookViewId="0">
      <selection activeCell="Q460" sqref="A460:XFD460"/>
    </sheetView>
  </sheetViews>
  <sheetFormatPr defaultColWidth="12.1796875" defaultRowHeight="13" x14ac:dyDescent="0.3"/>
  <cols>
    <col min="1" max="1" width="5.7265625" style="19" customWidth="1"/>
    <col min="2" max="2" width="11.26953125" style="20" customWidth="1"/>
    <col min="3" max="3" width="12.1796875" style="21"/>
    <col min="4" max="4" width="16" style="21" bestFit="1" customWidth="1"/>
    <col min="5" max="5" width="16" style="21" customWidth="1"/>
    <col min="6" max="6" width="38" style="22" bestFit="1" customWidth="1"/>
    <col min="7" max="7" width="25.54296875" style="76" customWidth="1"/>
    <col min="8" max="8" width="25.54296875" style="22" customWidth="1"/>
    <col min="9" max="14" width="25.54296875" style="34" customWidth="1"/>
    <col min="15" max="15" width="25.54296875" style="27" customWidth="1"/>
    <col min="16" max="16" width="8.81640625" style="23" customWidth="1"/>
    <col min="17" max="17" width="6.26953125" style="24" customWidth="1"/>
    <col min="18" max="18" width="12.81640625" style="5" customWidth="1"/>
    <col min="19" max="19" width="7.81640625" style="21" customWidth="1"/>
    <col min="20" max="20" width="13.7265625" style="3" bestFit="1" customWidth="1"/>
    <col min="21" max="21" width="3.1796875" style="6" customWidth="1"/>
    <col min="22" max="22" width="7.26953125" style="3" customWidth="1"/>
    <col min="23" max="23" width="7.7265625" style="1" customWidth="1"/>
    <col min="24" max="24" width="11.7265625" style="2" customWidth="1"/>
    <col min="25" max="25" width="3.7265625" style="2" customWidth="1"/>
    <col min="26" max="26" width="6" style="2" customWidth="1"/>
    <col min="27" max="27" width="13.7265625" style="4" bestFit="1" customWidth="1"/>
    <col min="28" max="28" width="13.54296875" style="25" bestFit="1" customWidth="1"/>
    <col min="29" max="29" width="13.81640625" style="25" customWidth="1"/>
    <col min="30" max="30" width="13.54296875" style="25" customWidth="1"/>
    <col min="31" max="31" width="18" style="25" bestFit="1" customWidth="1"/>
    <col min="32" max="32" width="9.81640625" style="46" customWidth="1"/>
    <col min="33" max="33" width="11.54296875" style="47" customWidth="1"/>
    <col min="34" max="34" width="10.7265625" style="48" customWidth="1"/>
    <col min="35" max="35" width="13.54296875" style="48" customWidth="1"/>
    <col min="36" max="16384" width="12.1796875" style="12"/>
  </cols>
  <sheetData>
    <row r="1" spans="1:35" s="58" customFormat="1" ht="40.5" customHeight="1" x14ac:dyDescent="0.25">
      <c r="A1" s="42" t="s">
        <v>1</v>
      </c>
      <c r="B1" s="52" t="s">
        <v>5</v>
      </c>
      <c r="C1" s="52" t="s">
        <v>340</v>
      </c>
      <c r="D1" s="52" t="s">
        <v>245</v>
      </c>
      <c r="E1" s="52"/>
      <c r="F1" s="42" t="s">
        <v>6</v>
      </c>
      <c r="G1" s="74" t="s">
        <v>242</v>
      </c>
      <c r="H1" s="51" t="s">
        <v>1321</v>
      </c>
      <c r="I1" s="53" t="s">
        <v>209</v>
      </c>
      <c r="J1" s="53" t="s">
        <v>210</v>
      </c>
      <c r="K1" s="53" t="s">
        <v>241</v>
      </c>
      <c r="L1" s="53" t="s">
        <v>154</v>
      </c>
      <c r="M1" s="53" t="s">
        <v>155</v>
      </c>
      <c r="N1" s="53" t="s">
        <v>243</v>
      </c>
      <c r="O1" s="53" t="s">
        <v>244</v>
      </c>
      <c r="P1" s="42" t="s">
        <v>12</v>
      </c>
      <c r="Q1" s="56" t="s">
        <v>4</v>
      </c>
      <c r="R1" s="26" t="s">
        <v>7</v>
      </c>
      <c r="S1" s="42" t="s">
        <v>4</v>
      </c>
      <c r="T1" s="26" t="s">
        <v>0</v>
      </c>
      <c r="U1" s="54" t="s">
        <v>4</v>
      </c>
      <c r="V1" s="26" t="s">
        <v>0</v>
      </c>
      <c r="W1" s="54" t="s">
        <v>4</v>
      </c>
      <c r="X1" s="26" t="s">
        <v>0</v>
      </c>
      <c r="Y1" s="54" t="s">
        <v>4</v>
      </c>
      <c r="Z1" s="26" t="s">
        <v>0</v>
      </c>
      <c r="AA1" s="26" t="s">
        <v>2</v>
      </c>
      <c r="AB1" s="26" t="s">
        <v>3</v>
      </c>
      <c r="AC1" s="26" t="s">
        <v>208</v>
      </c>
      <c r="AD1" s="26" t="s">
        <v>353</v>
      </c>
      <c r="AE1" s="26" t="s">
        <v>1321</v>
      </c>
      <c r="AF1" s="57" t="s">
        <v>201</v>
      </c>
      <c r="AG1" s="55" t="s">
        <v>1323</v>
      </c>
      <c r="AH1" s="51" t="s">
        <v>1322</v>
      </c>
      <c r="AI1" s="51" t="s">
        <v>202</v>
      </c>
    </row>
    <row r="2" spans="1:35" x14ac:dyDescent="0.3">
      <c r="A2" s="43"/>
      <c r="B2" s="13">
        <v>46029</v>
      </c>
      <c r="C2" s="73">
        <v>3987</v>
      </c>
      <c r="D2" s="30" t="s">
        <v>489</v>
      </c>
      <c r="E2" s="30"/>
      <c r="F2" s="15" t="s">
        <v>356</v>
      </c>
      <c r="G2" s="69">
        <v>46048</v>
      </c>
      <c r="H2" s="15" t="s">
        <v>251</v>
      </c>
      <c r="I2" s="29">
        <v>40720</v>
      </c>
      <c r="J2" s="29">
        <v>45995</v>
      </c>
      <c r="K2" s="29" t="s">
        <v>225</v>
      </c>
      <c r="L2" s="29" t="s">
        <v>174</v>
      </c>
      <c r="M2" s="29" t="s">
        <v>26</v>
      </c>
      <c r="N2" s="29" t="s">
        <v>230</v>
      </c>
      <c r="O2" s="32">
        <v>44562</v>
      </c>
      <c r="P2" s="14"/>
      <c r="Q2" s="37"/>
      <c r="R2" s="38"/>
      <c r="S2" s="30"/>
      <c r="T2" s="39"/>
      <c r="U2" s="40"/>
      <c r="V2" s="39"/>
      <c r="W2" s="41"/>
      <c r="X2" s="9"/>
      <c r="Y2" s="9"/>
      <c r="Z2" s="9"/>
      <c r="AA2" s="7">
        <v>2807663</v>
      </c>
      <c r="AB2" s="33"/>
      <c r="AC2" s="33"/>
      <c r="AD2" s="33"/>
      <c r="AE2" s="50">
        <v>46210</v>
      </c>
      <c r="AF2" s="44"/>
      <c r="AG2" s="45"/>
      <c r="AH2" s="36"/>
      <c r="AI2" s="36" t="s">
        <v>349</v>
      </c>
    </row>
    <row r="3" spans="1:35" x14ac:dyDescent="0.3">
      <c r="A3" s="43"/>
      <c r="B3" s="13">
        <v>46029</v>
      </c>
      <c r="C3" s="61">
        <v>8326</v>
      </c>
      <c r="D3" s="30" t="s">
        <v>499</v>
      </c>
      <c r="E3" s="30"/>
      <c r="F3" s="15" t="s">
        <v>358</v>
      </c>
      <c r="G3" s="69">
        <v>46048</v>
      </c>
      <c r="H3" s="15" t="s">
        <v>251</v>
      </c>
      <c r="I3" s="29">
        <v>42515</v>
      </c>
      <c r="J3" s="29">
        <v>45937</v>
      </c>
      <c r="K3" s="29" t="s">
        <v>500</v>
      </c>
      <c r="L3" s="29" t="s">
        <v>156</v>
      </c>
      <c r="M3" s="29" t="s">
        <v>320</v>
      </c>
      <c r="N3" s="29" t="s">
        <v>230</v>
      </c>
      <c r="O3" s="32">
        <v>45292</v>
      </c>
      <c r="P3" s="14"/>
      <c r="Q3" s="37"/>
      <c r="R3" s="38"/>
      <c r="S3" s="30"/>
      <c r="T3" s="39"/>
      <c r="U3" s="40"/>
      <c r="V3" s="39"/>
      <c r="W3" s="41"/>
      <c r="X3" s="9"/>
      <c r="Y3" s="9"/>
      <c r="Z3" s="9"/>
      <c r="AA3" s="7">
        <v>394835</v>
      </c>
      <c r="AB3" s="33"/>
      <c r="AC3" s="33"/>
      <c r="AD3" s="33"/>
      <c r="AE3" s="50">
        <v>46210</v>
      </c>
      <c r="AF3" s="44"/>
      <c r="AG3" s="45"/>
      <c r="AH3" s="36"/>
      <c r="AI3" s="36" t="s">
        <v>349</v>
      </c>
    </row>
    <row r="4" spans="1:35" x14ac:dyDescent="0.3">
      <c r="A4" s="43"/>
      <c r="B4" s="13">
        <v>46029</v>
      </c>
      <c r="C4" s="61">
        <v>13811</v>
      </c>
      <c r="D4" s="30" t="s">
        <v>512</v>
      </c>
      <c r="E4" s="30"/>
      <c r="F4" s="15" t="s">
        <v>357</v>
      </c>
      <c r="G4" s="69">
        <v>46048</v>
      </c>
      <c r="H4" s="15" t="s">
        <v>251</v>
      </c>
      <c r="I4" s="29">
        <v>43862</v>
      </c>
      <c r="J4" s="29">
        <v>45960</v>
      </c>
      <c r="K4" s="29" t="s">
        <v>513</v>
      </c>
      <c r="L4" s="29" t="s">
        <v>279</v>
      </c>
      <c r="M4" s="29" t="s">
        <v>26</v>
      </c>
      <c r="N4" s="29" t="s">
        <v>227</v>
      </c>
      <c r="O4" s="32">
        <v>44927</v>
      </c>
      <c r="P4" s="14"/>
      <c r="Q4" s="37"/>
      <c r="R4" s="38"/>
      <c r="S4" s="30"/>
      <c r="T4" s="39"/>
      <c r="U4" s="40"/>
      <c r="V4" s="39"/>
      <c r="W4" s="41"/>
      <c r="X4" s="9"/>
      <c r="Y4" s="9"/>
      <c r="Z4" s="9"/>
      <c r="AA4" s="7">
        <v>196215</v>
      </c>
      <c r="AB4" s="33"/>
      <c r="AC4" s="33"/>
      <c r="AD4" s="33"/>
      <c r="AE4" s="50">
        <v>46210</v>
      </c>
      <c r="AF4" s="44"/>
      <c r="AG4" s="45"/>
      <c r="AH4" s="36"/>
      <c r="AI4" s="36" t="s">
        <v>349</v>
      </c>
    </row>
    <row r="5" spans="1:35" x14ac:dyDescent="0.3">
      <c r="A5" s="43"/>
      <c r="B5" s="13">
        <v>46029</v>
      </c>
      <c r="C5" s="61">
        <v>8582</v>
      </c>
      <c r="D5" s="30" t="s">
        <v>501</v>
      </c>
      <c r="E5" s="30"/>
      <c r="F5" s="15" t="s">
        <v>355</v>
      </c>
      <c r="G5" s="69">
        <v>46069</v>
      </c>
      <c r="H5" s="15" t="s">
        <v>251</v>
      </c>
      <c r="I5" s="29">
        <v>42614</v>
      </c>
      <c r="J5" s="29">
        <v>45872</v>
      </c>
      <c r="K5" s="29" t="s">
        <v>219</v>
      </c>
      <c r="L5" s="29" t="s">
        <v>111</v>
      </c>
      <c r="M5" s="29" t="s">
        <v>23</v>
      </c>
      <c r="N5" s="29" t="s">
        <v>214</v>
      </c>
      <c r="O5" s="32"/>
      <c r="P5" s="14"/>
      <c r="Q5" s="37"/>
      <c r="R5" s="38"/>
      <c r="S5" s="30"/>
      <c r="T5" s="39"/>
      <c r="U5" s="40"/>
      <c r="V5" s="39"/>
      <c r="W5" s="41"/>
      <c r="X5" s="9"/>
      <c r="Y5" s="9"/>
      <c r="Z5" s="9"/>
      <c r="AA5" s="7">
        <v>567633</v>
      </c>
      <c r="AB5" s="33"/>
      <c r="AC5" s="33"/>
      <c r="AD5" s="33"/>
      <c r="AE5" s="50">
        <v>46210</v>
      </c>
      <c r="AF5" s="44"/>
      <c r="AG5" s="45"/>
      <c r="AH5" s="36"/>
      <c r="AI5" s="36" t="s">
        <v>349</v>
      </c>
    </row>
    <row r="6" spans="1:35" x14ac:dyDescent="0.3">
      <c r="A6" s="43"/>
      <c r="B6" s="13">
        <v>46040</v>
      </c>
      <c r="C6" s="61">
        <v>13709</v>
      </c>
      <c r="D6" s="30" t="s">
        <v>511</v>
      </c>
      <c r="E6" s="30"/>
      <c r="F6" s="15" t="s">
        <v>416</v>
      </c>
      <c r="G6" s="69">
        <v>46058</v>
      </c>
      <c r="H6" s="14" t="s">
        <v>251</v>
      </c>
      <c r="I6" s="29">
        <v>43862</v>
      </c>
      <c r="J6" s="29">
        <v>45670</v>
      </c>
      <c r="K6" s="29" t="s">
        <v>213</v>
      </c>
      <c r="L6" s="29" t="s">
        <v>151</v>
      </c>
      <c r="M6" s="29" t="s">
        <v>24</v>
      </c>
      <c r="N6" s="29" t="s">
        <v>214</v>
      </c>
      <c r="O6" s="32">
        <v>44562</v>
      </c>
      <c r="P6" s="14"/>
      <c r="Q6" s="37"/>
      <c r="R6" s="38"/>
      <c r="S6" s="30"/>
      <c r="T6" s="39"/>
      <c r="U6" s="40"/>
      <c r="V6" s="39"/>
      <c r="W6" s="41"/>
      <c r="X6" s="9"/>
      <c r="Y6" s="9"/>
      <c r="Z6" s="9"/>
      <c r="AA6" s="7">
        <v>169234</v>
      </c>
      <c r="AB6" s="33"/>
      <c r="AC6" s="33"/>
      <c r="AD6" s="33"/>
      <c r="AE6" s="50">
        <v>46221</v>
      </c>
      <c r="AF6" s="44"/>
      <c r="AG6" s="45"/>
      <c r="AH6" s="36"/>
      <c r="AI6" s="36" t="s">
        <v>349</v>
      </c>
    </row>
    <row r="7" spans="1:35" x14ac:dyDescent="0.3">
      <c r="A7" s="43"/>
      <c r="B7" s="13">
        <v>46040</v>
      </c>
      <c r="C7" s="61">
        <v>10020389</v>
      </c>
      <c r="D7" s="30" t="s">
        <v>575</v>
      </c>
      <c r="E7" s="30"/>
      <c r="F7" s="15" t="s">
        <v>393</v>
      </c>
      <c r="G7" s="69">
        <v>46058</v>
      </c>
      <c r="H7" s="15" t="s">
        <v>251</v>
      </c>
      <c r="I7" s="29">
        <v>45323</v>
      </c>
      <c r="J7" s="29">
        <v>45924</v>
      </c>
      <c r="K7" s="29" t="s">
        <v>318</v>
      </c>
      <c r="L7" s="29" t="s">
        <v>268</v>
      </c>
      <c r="M7" s="29" t="s">
        <v>26</v>
      </c>
      <c r="N7" s="29" t="s">
        <v>335</v>
      </c>
      <c r="O7" s="32"/>
      <c r="P7" s="14"/>
      <c r="Q7" s="37"/>
      <c r="R7" s="38"/>
      <c r="S7" s="30"/>
      <c r="T7" s="39"/>
      <c r="U7" s="40"/>
      <c r="V7" s="39"/>
      <c r="W7" s="41"/>
      <c r="X7" s="9"/>
      <c r="Y7" s="9"/>
      <c r="Z7" s="9"/>
      <c r="AA7" s="7">
        <v>39834</v>
      </c>
      <c r="AB7" s="33"/>
      <c r="AC7" s="33"/>
      <c r="AD7" s="33"/>
      <c r="AE7" s="50">
        <v>46221</v>
      </c>
      <c r="AF7" s="44"/>
      <c r="AG7" s="45"/>
      <c r="AH7" s="36"/>
      <c r="AI7" s="36" t="s">
        <v>349</v>
      </c>
    </row>
    <row r="8" spans="1:35" x14ac:dyDescent="0.3">
      <c r="A8" s="43"/>
      <c r="B8" s="13">
        <v>46040</v>
      </c>
      <c r="C8" s="61">
        <v>8936</v>
      </c>
      <c r="D8" s="30" t="s">
        <v>502</v>
      </c>
      <c r="E8" s="30"/>
      <c r="F8" s="15" t="s">
        <v>1328</v>
      </c>
      <c r="G8" s="69">
        <v>46061</v>
      </c>
      <c r="H8" s="15" t="s">
        <v>251</v>
      </c>
      <c r="I8" s="29">
        <v>42686</v>
      </c>
      <c r="J8" s="29">
        <v>45870</v>
      </c>
      <c r="K8" s="29" t="s">
        <v>219</v>
      </c>
      <c r="L8" s="29" t="s">
        <v>120</v>
      </c>
      <c r="M8" s="29" t="s">
        <v>23</v>
      </c>
      <c r="N8" s="29" t="s">
        <v>214</v>
      </c>
      <c r="O8" s="32">
        <v>45292</v>
      </c>
      <c r="P8" s="14"/>
      <c r="Q8" s="37"/>
      <c r="R8" s="38"/>
      <c r="S8" s="30"/>
      <c r="T8" s="39"/>
      <c r="U8" s="40"/>
      <c r="V8" s="39"/>
      <c r="W8" s="41"/>
      <c r="X8" s="9"/>
      <c r="Y8" s="9"/>
      <c r="Z8" s="9"/>
      <c r="AA8" s="7">
        <v>229763</v>
      </c>
      <c r="AB8" s="33"/>
      <c r="AC8" s="33"/>
      <c r="AD8" s="33"/>
      <c r="AE8" s="50">
        <v>46221</v>
      </c>
      <c r="AF8" s="44"/>
      <c r="AG8" s="45"/>
      <c r="AH8" s="36"/>
      <c r="AI8" s="36" t="s">
        <v>349</v>
      </c>
    </row>
    <row r="9" spans="1:35" x14ac:dyDescent="0.3">
      <c r="A9" s="43"/>
      <c r="B9" s="13">
        <v>46040</v>
      </c>
      <c r="C9" s="61">
        <v>9900</v>
      </c>
      <c r="D9" s="59" t="s">
        <v>698</v>
      </c>
      <c r="E9" s="59"/>
      <c r="F9" s="15" t="s">
        <v>402</v>
      </c>
      <c r="G9" s="69">
        <v>46061</v>
      </c>
      <c r="H9" s="15" t="s">
        <v>251</v>
      </c>
      <c r="I9" s="29">
        <v>42939</v>
      </c>
      <c r="J9" s="29">
        <v>45797</v>
      </c>
      <c r="K9" s="29" t="s">
        <v>219</v>
      </c>
      <c r="L9" s="29" t="s">
        <v>91</v>
      </c>
      <c r="M9" s="29" t="s">
        <v>16</v>
      </c>
      <c r="N9" s="29" t="s">
        <v>214</v>
      </c>
      <c r="O9" s="32"/>
      <c r="P9" s="14"/>
      <c r="Q9" s="37"/>
      <c r="R9" s="38"/>
      <c r="S9" s="30"/>
      <c r="T9" s="39"/>
      <c r="U9" s="40"/>
      <c r="V9" s="39"/>
      <c r="W9" s="41"/>
      <c r="X9" s="9"/>
      <c r="Y9" s="9"/>
      <c r="Z9" s="9"/>
      <c r="AA9" s="7">
        <v>437389</v>
      </c>
      <c r="AB9" s="33"/>
      <c r="AC9" s="33"/>
      <c r="AD9" s="33"/>
      <c r="AE9" s="50">
        <v>46221</v>
      </c>
      <c r="AF9" s="44"/>
      <c r="AG9" s="45"/>
      <c r="AH9" s="36"/>
      <c r="AI9" s="36" t="s">
        <v>349</v>
      </c>
    </row>
    <row r="10" spans="1:35" x14ac:dyDescent="0.3">
      <c r="A10" s="43"/>
      <c r="B10" s="13">
        <v>46040</v>
      </c>
      <c r="C10" s="61">
        <v>9945</v>
      </c>
      <c r="D10" s="59" t="s">
        <v>686</v>
      </c>
      <c r="E10" s="59"/>
      <c r="F10" s="15" t="s">
        <v>369</v>
      </c>
      <c r="G10" s="69">
        <v>46061</v>
      </c>
      <c r="H10" s="15" t="s">
        <v>251</v>
      </c>
      <c r="I10" s="29">
        <v>42977</v>
      </c>
      <c r="J10" s="29">
        <v>45658</v>
      </c>
      <c r="K10" s="29" t="s">
        <v>219</v>
      </c>
      <c r="L10" s="29" t="s">
        <v>95</v>
      </c>
      <c r="M10" s="29" t="s">
        <v>23</v>
      </c>
      <c r="N10" s="29" t="s">
        <v>214</v>
      </c>
      <c r="O10" s="32"/>
      <c r="P10" s="14"/>
      <c r="Q10" s="37"/>
      <c r="R10" s="38"/>
      <c r="S10" s="30"/>
      <c r="T10" s="39"/>
      <c r="U10" s="40"/>
      <c r="V10" s="39"/>
      <c r="W10" s="41"/>
      <c r="X10" s="9"/>
      <c r="Y10" s="9"/>
      <c r="Z10" s="9"/>
      <c r="AA10" s="7">
        <v>440197</v>
      </c>
      <c r="AB10" s="33"/>
      <c r="AC10" s="33"/>
      <c r="AD10" s="33"/>
      <c r="AE10" s="50">
        <v>46221</v>
      </c>
      <c r="AF10" s="44"/>
      <c r="AG10" s="45"/>
      <c r="AH10" s="36"/>
      <c r="AI10" s="36" t="s">
        <v>349</v>
      </c>
    </row>
    <row r="11" spans="1:35" x14ac:dyDescent="0.3">
      <c r="A11" s="43"/>
      <c r="B11" s="13">
        <v>46040</v>
      </c>
      <c r="C11" s="61">
        <v>13974</v>
      </c>
      <c r="D11" s="30" t="s">
        <v>691</v>
      </c>
      <c r="E11" s="30"/>
      <c r="F11" s="15" t="s">
        <v>478</v>
      </c>
      <c r="G11" s="69">
        <v>46061</v>
      </c>
      <c r="H11" s="15" t="s">
        <v>251</v>
      </c>
      <c r="I11" s="29">
        <v>43883</v>
      </c>
      <c r="J11" s="29">
        <v>45292</v>
      </c>
      <c r="K11" s="29" t="s">
        <v>222</v>
      </c>
      <c r="L11" s="29" t="s">
        <v>176</v>
      </c>
      <c r="M11" s="29" t="s">
        <v>22</v>
      </c>
      <c r="N11" s="29" t="s">
        <v>214</v>
      </c>
      <c r="O11" s="32">
        <v>44927</v>
      </c>
      <c r="P11" s="14"/>
      <c r="Q11" s="37"/>
      <c r="R11" s="38"/>
      <c r="S11" s="30"/>
      <c r="T11" s="39"/>
      <c r="U11" s="40"/>
      <c r="V11" s="39"/>
      <c r="W11" s="41"/>
      <c r="X11" s="9"/>
      <c r="Y11" s="9"/>
      <c r="Z11" s="9"/>
      <c r="AA11" s="7">
        <v>43391</v>
      </c>
      <c r="AB11" s="33"/>
      <c r="AC11" s="33"/>
      <c r="AD11" s="33"/>
      <c r="AE11" s="50">
        <v>46221</v>
      </c>
      <c r="AF11" s="44"/>
      <c r="AG11" s="45"/>
      <c r="AH11" s="36"/>
      <c r="AI11" s="36" t="s">
        <v>349</v>
      </c>
    </row>
    <row r="12" spans="1:35" x14ac:dyDescent="0.3">
      <c r="A12" s="43"/>
      <c r="B12" s="13">
        <v>46040</v>
      </c>
      <c r="C12" s="61">
        <v>16401</v>
      </c>
      <c r="D12" s="30" t="s">
        <v>696</v>
      </c>
      <c r="E12" s="30"/>
      <c r="F12" s="15" t="s">
        <v>352</v>
      </c>
      <c r="G12" s="69">
        <v>46061</v>
      </c>
      <c r="H12" s="15" t="s">
        <v>251</v>
      </c>
      <c r="I12" s="29">
        <v>44581</v>
      </c>
      <c r="J12" s="29">
        <v>45658</v>
      </c>
      <c r="K12" s="29" t="s">
        <v>240</v>
      </c>
      <c r="L12" s="29" t="s">
        <v>148</v>
      </c>
      <c r="M12" s="29" t="s">
        <v>23</v>
      </c>
      <c r="N12" s="29" t="s">
        <v>212</v>
      </c>
      <c r="O12" s="32"/>
      <c r="P12" s="14"/>
      <c r="Q12" s="37"/>
      <c r="R12" s="38"/>
      <c r="S12" s="30"/>
      <c r="T12" s="39"/>
      <c r="U12" s="40"/>
      <c r="V12" s="39"/>
      <c r="W12" s="41"/>
      <c r="X12" s="9"/>
      <c r="Y12" s="9"/>
      <c r="Z12" s="9"/>
      <c r="AA12" s="7">
        <v>79832</v>
      </c>
      <c r="AB12" s="33"/>
      <c r="AC12" s="33"/>
      <c r="AD12" s="33"/>
      <c r="AE12" s="50">
        <v>46221</v>
      </c>
      <c r="AF12" s="44"/>
      <c r="AG12" s="45"/>
      <c r="AH12" s="36"/>
      <c r="AI12" s="36" t="s">
        <v>349</v>
      </c>
    </row>
    <row r="13" spans="1:35" x14ac:dyDescent="0.3">
      <c r="A13" s="43"/>
      <c r="B13" s="13">
        <v>46040</v>
      </c>
      <c r="C13" s="61">
        <v>8135</v>
      </c>
      <c r="D13" s="59" t="s">
        <v>697</v>
      </c>
      <c r="E13" s="59"/>
      <c r="F13" s="15" t="s">
        <v>364</v>
      </c>
      <c r="G13" s="69">
        <v>46061</v>
      </c>
      <c r="H13" s="15" t="s">
        <v>251</v>
      </c>
      <c r="I13" s="29">
        <v>42447</v>
      </c>
      <c r="J13" s="29">
        <v>45870</v>
      </c>
      <c r="K13" s="29" t="s">
        <v>215</v>
      </c>
      <c r="L13" s="29" t="s">
        <v>101</v>
      </c>
      <c r="M13" s="29" t="s">
        <v>23</v>
      </c>
      <c r="N13" s="29" t="s">
        <v>223</v>
      </c>
      <c r="O13" s="32">
        <v>45658</v>
      </c>
      <c r="P13" s="14"/>
      <c r="Q13" s="37"/>
      <c r="R13" s="38"/>
      <c r="S13" s="30"/>
      <c r="T13" s="39"/>
      <c r="U13" s="40"/>
      <c r="V13" s="39"/>
      <c r="W13" s="41"/>
      <c r="X13" s="9"/>
      <c r="Y13" s="9"/>
      <c r="Z13" s="9"/>
      <c r="AA13" s="7">
        <v>619635</v>
      </c>
      <c r="AB13" s="33"/>
      <c r="AC13" s="33"/>
      <c r="AD13" s="33"/>
      <c r="AE13" s="50">
        <v>46221</v>
      </c>
      <c r="AF13" s="44"/>
      <c r="AG13" s="45"/>
      <c r="AH13" s="36"/>
      <c r="AI13" s="36" t="s">
        <v>349</v>
      </c>
    </row>
    <row r="14" spans="1:35" x14ac:dyDescent="0.3">
      <c r="A14" s="43"/>
      <c r="B14" s="13">
        <v>46040</v>
      </c>
      <c r="C14" s="61">
        <v>12360</v>
      </c>
      <c r="D14" s="30" t="s">
        <v>509</v>
      </c>
      <c r="E14" s="30"/>
      <c r="F14" s="15" t="s">
        <v>317</v>
      </c>
      <c r="G14" s="69">
        <v>46061</v>
      </c>
      <c r="H14" s="15" t="s">
        <v>251</v>
      </c>
      <c r="I14" s="29">
        <v>43530</v>
      </c>
      <c r="J14" s="29">
        <v>45839</v>
      </c>
      <c r="K14" s="29" t="s">
        <v>215</v>
      </c>
      <c r="L14" s="29" t="s">
        <v>168</v>
      </c>
      <c r="M14" s="29" t="s">
        <v>23</v>
      </c>
      <c r="N14" s="29" t="s">
        <v>223</v>
      </c>
      <c r="O14" s="32">
        <v>44562</v>
      </c>
      <c r="P14" s="14"/>
      <c r="Q14" s="37"/>
      <c r="R14" s="38"/>
      <c r="S14" s="30"/>
      <c r="T14" s="39"/>
      <c r="U14" s="40"/>
      <c r="V14" s="39"/>
      <c r="W14" s="41"/>
      <c r="X14" s="9"/>
      <c r="Y14" s="9"/>
      <c r="Z14" s="9"/>
      <c r="AA14" s="7">
        <v>0</v>
      </c>
      <c r="AB14" s="33"/>
      <c r="AC14" s="33"/>
      <c r="AD14" s="33"/>
      <c r="AE14" s="50">
        <v>46221</v>
      </c>
      <c r="AF14" s="44"/>
      <c r="AG14" s="45"/>
      <c r="AH14" s="36"/>
      <c r="AI14" s="36" t="s">
        <v>349</v>
      </c>
    </row>
    <row r="15" spans="1:35" x14ac:dyDescent="0.3">
      <c r="A15" s="43"/>
      <c r="B15" s="13">
        <v>46040</v>
      </c>
      <c r="C15" s="61">
        <v>9171</v>
      </c>
      <c r="D15" s="30" t="s">
        <v>504</v>
      </c>
      <c r="E15" s="30"/>
      <c r="F15" s="15" t="s">
        <v>481</v>
      </c>
      <c r="G15" s="69">
        <v>46061</v>
      </c>
      <c r="H15" s="15" t="s">
        <v>251</v>
      </c>
      <c r="I15" s="29">
        <v>42753</v>
      </c>
      <c r="J15" s="29">
        <v>45826</v>
      </c>
      <c r="K15" s="29" t="s">
        <v>219</v>
      </c>
      <c r="L15" s="29" t="s">
        <v>132</v>
      </c>
      <c r="M15" s="29" t="s">
        <v>23</v>
      </c>
      <c r="N15" s="29" t="s">
        <v>214</v>
      </c>
      <c r="O15" s="32"/>
      <c r="P15" s="14"/>
      <c r="Q15" s="37"/>
      <c r="R15" s="38"/>
      <c r="S15" s="30"/>
      <c r="T15" s="39"/>
      <c r="U15" s="40"/>
      <c r="V15" s="39"/>
      <c r="W15" s="41"/>
      <c r="X15" s="9"/>
      <c r="Y15" s="9"/>
      <c r="Z15" s="9"/>
      <c r="AA15" s="7">
        <v>370896</v>
      </c>
      <c r="AB15" s="33"/>
      <c r="AC15" s="33"/>
      <c r="AD15" s="33"/>
      <c r="AE15" s="50">
        <v>46221</v>
      </c>
      <c r="AF15" s="44"/>
      <c r="AG15" s="45"/>
      <c r="AH15" s="36"/>
      <c r="AI15" s="36" t="s">
        <v>349</v>
      </c>
    </row>
    <row r="16" spans="1:35" x14ac:dyDescent="0.3">
      <c r="A16" s="43"/>
      <c r="B16" s="13">
        <v>46040</v>
      </c>
      <c r="C16" s="61">
        <v>11759</v>
      </c>
      <c r="D16" s="30" t="s">
        <v>700</v>
      </c>
      <c r="E16" s="30"/>
      <c r="F16" s="15" t="s">
        <v>444</v>
      </c>
      <c r="G16" s="69">
        <v>46061</v>
      </c>
      <c r="H16" s="15" t="s">
        <v>251</v>
      </c>
      <c r="I16" s="29">
        <v>43402</v>
      </c>
      <c r="J16" s="29">
        <v>45417</v>
      </c>
      <c r="K16" s="29" t="s">
        <v>219</v>
      </c>
      <c r="L16" s="29" t="s">
        <v>105</v>
      </c>
      <c r="M16" s="29" t="s">
        <v>17</v>
      </c>
      <c r="N16" s="29" t="s">
        <v>214</v>
      </c>
      <c r="O16" s="32"/>
      <c r="P16" s="14"/>
      <c r="Q16" s="37"/>
      <c r="R16" s="38"/>
      <c r="S16" s="30"/>
      <c r="T16" s="39"/>
      <c r="U16" s="40"/>
      <c r="V16" s="39"/>
      <c r="W16" s="41"/>
      <c r="X16" s="9"/>
      <c r="Y16" s="9"/>
      <c r="Z16" s="9"/>
      <c r="AA16" s="7">
        <v>370856</v>
      </c>
      <c r="AB16" s="33"/>
      <c r="AC16" s="33"/>
      <c r="AD16" s="33"/>
      <c r="AE16" s="50">
        <v>46221</v>
      </c>
      <c r="AF16" s="44"/>
      <c r="AG16" s="45"/>
      <c r="AH16" s="36"/>
      <c r="AI16" s="36" t="s">
        <v>349</v>
      </c>
    </row>
    <row r="17" spans="1:35" x14ac:dyDescent="0.3">
      <c r="A17" s="43"/>
      <c r="B17" s="13">
        <v>46040</v>
      </c>
      <c r="C17" s="61">
        <v>12595</v>
      </c>
      <c r="D17" s="30" t="s">
        <v>690</v>
      </c>
      <c r="E17" s="30"/>
      <c r="F17" s="15" t="s">
        <v>48</v>
      </c>
      <c r="G17" s="69">
        <v>46061</v>
      </c>
      <c r="H17" s="15" t="s">
        <v>251</v>
      </c>
      <c r="I17" s="29">
        <v>43556</v>
      </c>
      <c r="J17" s="29">
        <v>45752</v>
      </c>
      <c r="K17" s="29" t="s">
        <v>237</v>
      </c>
      <c r="L17" s="29" t="s">
        <v>291</v>
      </c>
      <c r="M17" s="29" t="s">
        <v>17</v>
      </c>
      <c r="N17" s="29" t="s">
        <v>227</v>
      </c>
      <c r="O17" s="32">
        <v>44927</v>
      </c>
      <c r="P17" s="14"/>
      <c r="Q17" s="37"/>
      <c r="R17" s="38"/>
      <c r="S17" s="30"/>
      <c r="T17" s="39"/>
      <c r="U17" s="40"/>
      <c r="V17" s="39"/>
      <c r="W17" s="41"/>
      <c r="X17" s="9"/>
      <c r="Y17" s="9"/>
      <c r="Z17" s="9"/>
      <c r="AA17" s="7">
        <v>192339</v>
      </c>
      <c r="AB17" s="33"/>
      <c r="AC17" s="33"/>
      <c r="AD17" s="33"/>
      <c r="AE17" s="50">
        <v>46221</v>
      </c>
      <c r="AF17" s="44"/>
      <c r="AG17" s="45"/>
      <c r="AH17" s="36"/>
      <c r="AI17" s="36" t="s">
        <v>349</v>
      </c>
    </row>
    <row r="18" spans="1:35" x14ac:dyDescent="0.3">
      <c r="A18" s="43"/>
      <c r="B18" s="13">
        <v>46040</v>
      </c>
      <c r="C18" s="61">
        <v>7720</v>
      </c>
      <c r="D18" s="59" t="s">
        <v>685</v>
      </c>
      <c r="E18" s="59"/>
      <c r="F18" s="15" t="s">
        <v>445</v>
      </c>
      <c r="G18" s="69">
        <v>46061</v>
      </c>
      <c r="H18" s="15" t="s">
        <v>251</v>
      </c>
      <c r="I18" s="29">
        <v>42333</v>
      </c>
      <c r="J18" s="29">
        <v>45778</v>
      </c>
      <c r="K18" s="29" t="s">
        <v>219</v>
      </c>
      <c r="L18" s="29" t="s">
        <v>103</v>
      </c>
      <c r="M18" s="29" t="s">
        <v>23</v>
      </c>
      <c r="N18" s="29" t="s">
        <v>214</v>
      </c>
      <c r="O18" s="32"/>
      <c r="P18" s="14"/>
      <c r="Q18" s="37"/>
      <c r="R18" s="38"/>
      <c r="S18" s="30"/>
      <c r="T18" s="39"/>
      <c r="U18" s="40"/>
      <c r="V18" s="39"/>
      <c r="W18" s="41"/>
      <c r="X18" s="9"/>
      <c r="Y18" s="9"/>
      <c r="Z18" s="9"/>
      <c r="AA18" s="7">
        <v>672202</v>
      </c>
      <c r="AB18" s="33"/>
      <c r="AC18" s="33"/>
      <c r="AD18" s="33"/>
      <c r="AE18" s="50">
        <v>46221</v>
      </c>
      <c r="AF18" s="44"/>
      <c r="AG18" s="45"/>
      <c r="AH18" s="36"/>
      <c r="AI18" s="36" t="s">
        <v>349</v>
      </c>
    </row>
    <row r="19" spans="1:35" x14ac:dyDescent="0.3">
      <c r="A19" s="43"/>
      <c r="B19" s="13">
        <v>46040</v>
      </c>
      <c r="C19" s="61">
        <v>15066</v>
      </c>
      <c r="D19" s="30" t="s">
        <v>517</v>
      </c>
      <c r="E19" s="30"/>
      <c r="F19" s="15" t="s">
        <v>373</v>
      </c>
      <c r="G19" s="69">
        <v>46061</v>
      </c>
      <c r="H19" s="15" t="s">
        <v>251</v>
      </c>
      <c r="I19" s="29">
        <v>44264</v>
      </c>
      <c r="J19" s="29">
        <v>45809</v>
      </c>
      <c r="K19" s="29" t="s">
        <v>219</v>
      </c>
      <c r="L19" s="29" t="s">
        <v>67</v>
      </c>
      <c r="M19" s="29" t="s">
        <v>24</v>
      </c>
      <c r="N19" s="29" t="s">
        <v>214</v>
      </c>
      <c r="O19" s="32">
        <v>45292</v>
      </c>
      <c r="P19" s="14"/>
      <c r="Q19" s="37"/>
      <c r="R19" s="38"/>
      <c r="S19" s="30"/>
      <c r="T19" s="39"/>
      <c r="U19" s="40"/>
      <c r="V19" s="39"/>
      <c r="W19" s="41"/>
      <c r="X19" s="9"/>
      <c r="Y19" s="9"/>
      <c r="Z19" s="9"/>
      <c r="AA19" s="7">
        <v>159601</v>
      </c>
      <c r="AB19" s="33"/>
      <c r="AC19" s="33"/>
      <c r="AD19" s="33"/>
      <c r="AE19" s="50">
        <v>46221</v>
      </c>
      <c r="AF19" s="44"/>
      <c r="AG19" s="45"/>
      <c r="AH19" s="36"/>
      <c r="AI19" s="36" t="s">
        <v>349</v>
      </c>
    </row>
    <row r="20" spans="1:35" x14ac:dyDescent="0.3">
      <c r="A20" s="43"/>
      <c r="B20" s="13">
        <v>46040</v>
      </c>
      <c r="C20" s="61">
        <v>6422</v>
      </c>
      <c r="D20" s="30" t="s">
        <v>496</v>
      </c>
      <c r="E20" s="30"/>
      <c r="F20" s="15" t="s">
        <v>360</v>
      </c>
      <c r="G20" s="69">
        <v>46062</v>
      </c>
      <c r="H20" s="15" t="s">
        <v>251</v>
      </c>
      <c r="I20" s="29">
        <v>41940</v>
      </c>
      <c r="J20" s="29">
        <v>45931</v>
      </c>
      <c r="K20" s="29" t="s">
        <v>216</v>
      </c>
      <c r="L20" s="29" t="s">
        <v>166</v>
      </c>
      <c r="M20" s="29" t="s">
        <v>23</v>
      </c>
      <c r="N20" s="29" t="s">
        <v>217</v>
      </c>
      <c r="O20" s="32">
        <v>45306</v>
      </c>
      <c r="P20" s="14"/>
      <c r="Q20" s="37"/>
      <c r="R20" s="38"/>
      <c r="S20" s="30"/>
      <c r="T20" s="39"/>
      <c r="U20" s="40"/>
      <c r="V20" s="39"/>
      <c r="W20" s="41"/>
      <c r="X20" s="9"/>
      <c r="Y20" s="9"/>
      <c r="Z20" s="9"/>
      <c r="AA20" s="7">
        <v>760029</v>
      </c>
      <c r="AB20" s="33"/>
      <c r="AC20" s="33"/>
      <c r="AD20" s="33"/>
      <c r="AE20" s="50">
        <v>46221</v>
      </c>
      <c r="AF20" s="44"/>
      <c r="AG20" s="45"/>
      <c r="AH20" s="36"/>
      <c r="AI20" s="36" t="s">
        <v>349</v>
      </c>
    </row>
    <row r="21" spans="1:35" x14ac:dyDescent="0.3">
      <c r="A21" s="43"/>
      <c r="B21" s="13">
        <v>46040</v>
      </c>
      <c r="C21" s="61">
        <v>6684</v>
      </c>
      <c r="D21" s="30" t="s">
        <v>497</v>
      </c>
      <c r="E21" s="30"/>
      <c r="F21" s="15" t="s">
        <v>359</v>
      </c>
      <c r="G21" s="69">
        <v>46062</v>
      </c>
      <c r="H21" s="15" t="s">
        <v>251</v>
      </c>
      <c r="I21" s="29">
        <v>42005</v>
      </c>
      <c r="J21" s="29">
        <v>45841</v>
      </c>
      <c r="K21" s="29" t="s">
        <v>215</v>
      </c>
      <c r="L21" s="29" t="s">
        <v>138</v>
      </c>
      <c r="M21" s="29" t="s">
        <v>23</v>
      </c>
      <c r="N21" s="29" t="s">
        <v>223</v>
      </c>
      <c r="O21" s="32"/>
      <c r="P21" s="14"/>
      <c r="Q21" s="37"/>
      <c r="R21" s="38"/>
      <c r="S21" s="30"/>
      <c r="T21" s="39"/>
      <c r="U21" s="40"/>
      <c r="V21" s="39"/>
      <c r="W21" s="41"/>
      <c r="X21" s="9"/>
      <c r="Y21" s="9"/>
      <c r="Z21" s="9"/>
      <c r="AA21" s="7">
        <v>1152908</v>
      </c>
      <c r="AB21" s="33"/>
      <c r="AC21" s="33"/>
      <c r="AD21" s="33"/>
      <c r="AE21" s="50">
        <v>46221</v>
      </c>
      <c r="AF21" s="44"/>
      <c r="AG21" s="45"/>
      <c r="AH21" s="36"/>
      <c r="AI21" s="36" t="s">
        <v>349</v>
      </c>
    </row>
    <row r="22" spans="1:35" x14ac:dyDescent="0.3">
      <c r="A22" s="43"/>
      <c r="B22" s="13">
        <v>46040</v>
      </c>
      <c r="C22" s="61">
        <v>13986</v>
      </c>
      <c r="D22" s="30" t="s">
        <v>514</v>
      </c>
      <c r="E22" s="30"/>
      <c r="F22" s="15" t="s">
        <v>378</v>
      </c>
      <c r="G22" s="69">
        <v>46062</v>
      </c>
      <c r="H22" s="15" t="s">
        <v>251</v>
      </c>
      <c r="I22" s="29">
        <v>43898</v>
      </c>
      <c r="J22" s="29">
        <v>45694</v>
      </c>
      <c r="K22" s="29" t="s">
        <v>211</v>
      </c>
      <c r="L22" s="29" t="s">
        <v>168</v>
      </c>
      <c r="M22" s="29" t="s">
        <v>23</v>
      </c>
      <c r="N22" s="29" t="s">
        <v>212</v>
      </c>
      <c r="O22" s="32"/>
      <c r="P22" s="14"/>
      <c r="Q22" s="37"/>
      <c r="R22" s="38"/>
      <c r="S22" s="30"/>
      <c r="T22" s="39"/>
      <c r="U22" s="40"/>
      <c r="V22" s="39"/>
      <c r="W22" s="41"/>
      <c r="X22" s="9"/>
      <c r="Y22" s="9"/>
      <c r="Z22" s="9"/>
      <c r="AA22" s="7">
        <v>158883</v>
      </c>
      <c r="AB22" s="33"/>
      <c r="AC22" s="33"/>
      <c r="AD22" s="33"/>
      <c r="AE22" s="50">
        <v>46221</v>
      </c>
      <c r="AF22" s="44"/>
      <c r="AG22" s="45"/>
      <c r="AH22" s="36"/>
      <c r="AI22" s="36" t="s">
        <v>349</v>
      </c>
    </row>
    <row r="23" spans="1:35" x14ac:dyDescent="0.3">
      <c r="A23" s="43"/>
      <c r="B23" s="13">
        <v>46040</v>
      </c>
      <c r="C23" s="61">
        <v>10017593</v>
      </c>
      <c r="D23" s="30" t="s">
        <v>535</v>
      </c>
      <c r="E23" s="30"/>
      <c r="F23" s="15" t="s">
        <v>400</v>
      </c>
      <c r="G23" s="69">
        <v>46062</v>
      </c>
      <c r="H23" s="15" t="s">
        <v>251</v>
      </c>
      <c r="I23" s="29">
        <v>44810</v>
      </c>
      <c r="J23" s="29">
        <v>45017</v>
      </c>
      <c r="K23" s="29" t="s">
        <v>211</v>
      </c>
      <c r="L23" s="29" t="s">
        <v>178</v>
      </c>
      <c r="M23" s="29" t="s">
        <v>23</v>
      </c>
      <c r="N23" s="29" t="s">
        <v>212</v>
      </c>
      <c r="O23" s="32"/>
      <c r="P23" s="14"/>
      <c r="Q23" s="37"/>
      <c r="R23" s="38"/>
      <c r="S23" s="30"/>
      <c r="T23" s="39"/>
      <c r="U23" s="40"/>
      <c r="V23" s="39"/>
      <c r="W23" s="41"/>
      <c r="X23" s="9"/>
      <c r="Y23" s="9"/>
      <c r="Z23" s="9"/>
      <c r="AA23" s="7">
        <v>21050</v>
      </c>
      <c r="AB23" s="33"/>
      <c r="AC23" s="33"/>
      <c r="AD23" s="33"/>
      <c r="AE23" s="50">
        <v>46221</v>
      </c>
      <c r="AF23" s="44"/>
      <c r="AG23" s="45"/>
      <c r="AH23" s="36"/>
      <c r="AI23" s="36" t="s">
        <v>349</v>
      </c>
    </row>
    <row r="24" spans="1:35" x14ac:dyDescent="0.3">
      <c r="A24" s="43"/>
      <c r="B24" s="13">
        <v>46040</v>
      </c>
      <c r="C24" s="61">
        <v>10021693</v>
      </c>
      <c r="D24" s="30" t="s">
        <v>607</v>
      </c>
      <c r="E24" s="30"/>
      <c r="F24" s="15" t="s">
        <v>404</v>
      </c>
      <c r="G24" s="69">
        <v>46062</v>
      </c>
      <c r="H24" s="15" t="s">
        <v>251</v>
      </c>
      <c r="I24" s="29">
        <v>45513</v>
      </c>
      <c r="J24" s="29">
        <v>45808</v>
      </c>
      <c r="K24" s="29" t="s">
        <v>216</v>
      </c>
      <c r="L24" s="29" t="s">
        <v>572</v>
      </c>
      <c r="M24" s="29" t="s">
        <v>16</v>
      </c>
      <c r="N24" s="29" t="s">
        <v>217</v>
      </c>
      <c r="O24" s="32"/>
      <c r="P24" s="14"/>
      <c r="Q24" s="37"/>
      <c r="R24" s="38"/>
      <c r="S24" s="30"/>
      <c r="T24" s="39"/>
      <c r="U24" s="40"/>
      <c r="V24" s="39"/>
      <c r="W24" s="41"/>
      <c r="X24" s="9"/>
      <c r="Y24" s="9"/>
      <c r="Z24" s="9"/>
      <c r="AA24" s="7">
        <v>19272</v>
      </c>
      <c r="AB24" s="33"/>
      <c r="AC24" s="33"/>
      <c r="AD24" s="33"/>
      <c r="AE24" s="50">
        <v>46221</v>
      </c>
      <c r="AF24" s="44"/>
      <c r="AG24" s="45"/>
      <c r="AH24" s="36"/>
      <c r="AI24" s="36" t="s">
        <v>349</v>
      </c>
    </row>
    <row r="25" spans="1:35" x14ac:dyDescent="0.3">
      <c r="A25" s="43"/>
      <c r="B25" s="13">
        <v>46040</v>
      </c>
      <c r="C25" s="61">
        <v>6644</v>
      </c>
      <c r="D25" s="30" t="s">
        <v>684</v>
      </c>
      <c r="E25" s="30"/>
      <c r="F25" s="15" t="s">
        <v>366</v>
      </c>
      <c r="G25" s="69">
        <v>46068</v>
      </c>
      <c r="H25" s="15" t="s">
        <v>251</v>
      </c>
      <c r="I25" s="29">
        <v>42005</v>
      </c>
      <c r="J25" s="29">
        <v>45809</v>
      </c>
      <c r="K25" s="29" t="s">
        <v>219</v>
      </c>
      <c r="L25" s="29" t="s">
        <v>120</v>
      </c>
      <c r="M25" s="29" t="s">
        <v>23</v>
      </c>
      <c r="N25" s="29" t="s">
        <v>214</v>
      </c>
      <c r="O25" s="32"/>
      <c r="P25" s="14"/>
      <c r="Q25" s="37"/>
      <c r="R25" s="38"/>
      <c r="S25" s="30"/>
      <c r="T25" s="39"/>
      <c r="U25" s="40"/>
      <c r="V25" s="39"/>
      <c r="W25" s="41"/>
      <c r="X25" s="9"/>
      <c r="Y25" s="9"/>
      <c r="Z25" s="9"/>
      <c r="AA25" s="7">
        <v>875936</v>
      </c>
      <c r="AB25" s="33"/>
      <c r="AC25" s="33"/>
      <c r="AD25" s="33"/>
      <c r="AE25" s="50">
        <v>46221</v>
      </c>
      <c r="AF25" s="44"/>
      <c r="AG25" s="45"/>
      <c r="AH25" s="36"/>
      <c r="AI25" s="36" t="s">
        <v>349</v>
      </c>
    </row>
    <row r="26" spans="1:35" x14ac:dyDescent="0.3">
      <c r="A26" s="43"/>
      <c r="B26" s="13">
        <v>46040</v>
      </c>
      <c r="C26" s="61">
        <v>6980</v>
      </c>
      <c r="D26" s="30" t="s">
        <v>498</v>
      </c>
      <c r="E26" s="30"/>
      <c r="F26" s="15" t="s">
        <v>484</v>
      </c>
      <c r="G26" s="69">
        <v>46068</v>
      </c>
      <c r="H26" s="15" t="s">
        <v>251</v>
      </c>
      <c r="I26" s="29">
        <v>42032</v>
      </c>
      <c r="J26" s="29">
        <v>45846</v>
      </c>
      <c r="K26" s="29" t="s">
        <v>215</v>
      </c>
      <c r="L26" s="29" t="s">
        <v>120</v>
      </c>
      <c r="M26" s="29" t="s">
        <v>23</v>
      </c>
      <c r="N26" s="29" t="s">
        <v>223</v>
      </c>
      <c r="O26" s="32">
        <v>45292</v>
      </c>
      <c r="P26" s="14"/>
      <c r="Q26" s="37"/>
      <c r="R26" s="38"/>
      <c r="S26" s="30"/>
      <c r="T26" s="39"/>
      <c r="U26" s="40"/>
      <c r="V26" s="39"/>
      <c r="W26" s="41"/>
      <c r="X26" s="9"/>
      <c r="Y26" s="9"/>
      <c r="Z26" s="9"/>
      <c r="AA26" s="7">
        <v>431783</v>
      </c>
      <c r="AB26" s="33"/>
      <c r="AC26" s="33"/>
      <c r="AD26" s="33"/>
      <c r="AE26" s="50">
        <v>46221</v>
      </c>
      <c r="AF26" s="44"/>
      <c r="AG26" s="45"/>
      <c r="AH26" s="36"/>
      <c r="AI26" s="36" t="s">
        <v>349</v>
      </c>
    </row>
    <row r="27" spans="1:35" x14ac:dyDescent="0.3">
      <c r="A27" s="43"/>
      <c r="B27" s="13">
        <v>46040</v>
      </c>
      <c r="C27" s="61">
        <v>11462</v>
      </c>
      <c r="D27" s="30" t="s">
        <v>507</v>
      </c>
      <c r="E27" s="30"/>
      <c r="F27" s="15" t="s">
        <v>362</v>
      </c>
      <c r="G27" s="69">
        <v>46068</v>
      </c>
      <c r="H27" s="15" t="s">
        <v>251</v>
      </c>
      <c r="I27" s="29">
        <v>43344</v>
      </c>
      <c r="J27" s="29">
        <v>45839</v>
      </c>
      <c r="K27" s="29" t="s">
        <v>216</v>
      </c>
      <c r="L27" s="29" t="s">
        <v>120</v>
      </c>
      <c r="M27" s="29" t="s">
        <v>23</v>
      </c>
      <c r="N27" s="29" t="s">
        <v>217</v>
      </c>
      <c r="O27" s="32">
        <v>45413</v>
      </c>
      <c r="P27" s="14"/>
      <c r="Q27" s="37"/>
      <c r="R27" s="38"/>
      <c r="S27" s="30"/>
      <c r="T27" s="39"/>
      <c r="U27" s="40"/>
      <c r="V27" s="39"/>
      <c r="W27" s="41"/>
      <c r="X27" s="9"/>
      <c r="Y27" s="9"/>
      <c r="Z27" s="9"/>
      <c r="AA27" s="7">
        <v>485761</v>
      </c>
      <c r="AB27" s="33"/>
      <c r="AC27" s="33"/>
      <c r="AD27" s="33"/>
      <c r="AE27" s="50">
        <v>46221</v>
      </c>
      <c r="AF27" s="44"/>
      <c r="AG27" s="45"/>
      <c r="AH27" s="36"/>
      <c r="AI27" s="36" t="s">
        <v>349</v>
      </c>
    </row>
    <row r="28" spans="1:35" x14ac:dyDescent="0.3">
      <c r="A28" s="43"/>
      <c r="B28" s="13">
        <v>46040</v>
      </c>
      <c r="C28" s="61">
        <v>10017357</v>
      </c>
      <c r="D28" s="30" t="s">
        <v>528</v>
      </c>
      <c r="E28" s="30"/>
      <c r="F28" s="15" t="s">
        <v>458</v>
      </c>
      <c r="G28" s="69">
        <v>46068</v>
      </c>
      <c r="H28" s="15" t="s">
        <v>251</v>
      </c>
      <c r="I28" s="29">
        <v>44776</v>
      </c>
      <c r="J28" s="29">
        <v>45413</v>
      </c>
      <c r="K28" s="29" t="s">
        <v>213</v>
      </c>
      <c r="L28" s="29" t="s">
        <v>67</v>
      </c>
      <c r="M28" s="29" t="s">
        <v>24</v>
      </c>
      <c r="N28" s="29" t="s">
        <v>214</v>
      </c>
      <c r="O28" s="32">
        <v>45292</v>
      </c>
      <c r="P28" s="14"/>
      <c r="Q28" s="37"/>
      <c r="R28" s="38"/>
      <c r="S28" s="30"/>
      <c r="T28" s="39"/>
      <c r="U28" s="40"/>
      <c r="V28" s="39"/>
      <c r="W28" s="41"/>
      <c r="X28" s="9"/>
      <c r="Y28" s="9"/>
      <c r="Z28" s="9"/>
      <c r="AA28" s="7">
        <v>54001</v>
      </c>
      <c r="AB28" s="33"/>
      <c r="AC28" s="33"/>
      <c r="AD28" s="33"/>
      <c r="AE28" s="50">
        <v>46221</v>
      </c>
      <c r="AF28" s="44"/>
      <c r="AG28" s="45"/>
      <c r="AH28" s="36"/>
      <c r="AI28" s="36" t="s">
        <v>349</v>
      </c>
    </row>
    <row r="29" spans="1:35" x14ac:dyDescent="0.3">
      <c r="A29" s="43"/>
      <c r="B29" s="13">
        <v>46040</v>
      </c>
      <c r="C29" s="61">
        <v>10020417</v>
      </c>
      <c r="D29" s="30" t="s">
        <v>577</v>
      </c>
      <c r="E29" s="30"/>
      <c r="F29" s="15" t="s">
        <v>415</v>
      </c>
      <c r="G29" s="69">
        <v>46068</v>
      </c>
      <c r="H29" s="15" t="s">
        <v>251</v>
      </c>
      <c r="I29" s="29">
        <v>45325</v>
      </c>
      <c r="J29" s="29">
        <v>45551</v>
      </c>
      <c r="K29" s="29" t="s">
        <v>211</v>
      </c>
      <c r="L29" s="29" t="s">
        <v>101</v>
      </c>
      <c r="M29" s="29" t="s">
        <v>23</v>
      </c>
      <c r="N29" s="29" t="s">
        <v>212</v>
      </c>
      <c r="O29" s="32"/>
      <c r="P29" s="14"/>
      <c r="Q29" s="37"/>
      <c r="R29" s="38"/>
      <c r="S29" s="30"/>
      <c r="T29" s="39"/>
      <c r="U29" s="40"/>
      <c r="V29" s="39"/>
      <c r="W29" s="41"/>
      <c r="X29" s="9"/>
      <c r="Y29" s="9"/>
      <c r="Z29" s="9"/>
      <c r="AA29" s="7">
        <v>13247</v>
      </c>
      <c r="AB29" s="33"/>
      <c r="AC29" s="33"/>
      <c r="AD29" s="33"/>
      <c r="AE29" s="50">
        <v>46221</v>
      </c>
      <c r="AF29" s="44"/>
      <c r="AG29" s="45"/>
      <c r="AH29" s="36"/>
      <c r="AI29" s="36" t="s">
        <v>349</v>
      </c>
    </row>
    <row r="30" spans="1:35" x14ac:dyDescent="0.3">
      <c r="A30" s="43"/>
      <c r="B30" s="13">
        <v>46040</v>
      </c>
      <c r="C30" s="61">
        <v>13214</v>
      </c>
      <c r="D30" s="30" t="s">
        <v>510</v>
      </c>
      <c r="E30" s="30"/>
      <c r="F30" s="15" t="s">
        <v>371</v>
      </c>
      <c r="G30" s="69">
        <v>46069</v>
      </c>
      <c r="H30" s="15" t="s">
        <v>251</v>
      </c>
      <c r="I30" s="29">
        <v>43753</v>
      </c>
      <c r="J30" s="29">
        <v>45809</v>
      </c>
      <c r="K30" s="29" t="s">
        <v>219</v>
      </c>
      <c r="L30" s="29" t="s">
        <v>116</v>
      </c>
      <c r="M30" s="29" t="s">
        <v>24</v>
      </c>
      <c r="N30" s="29" t="s">
        <v>214</v>
      </c>
      <c r="O30" s="32">
        <v>44562</v>
      </c>
      <c r="P30" s="14"/>
      <c r="Q30" s="37"/>
      <c r="R30" s="38"/>
      <c r="S30" s="30"/>
      <c r="T30" s="39"/>
      <c r="U30" s="40"/>
      <c r="V30" s="39"/>
      <c r="W30" s="41"/>
      <c r="X30" s="9"/>
      <c r="Y30" s="9"/>
      <c r="Z30" s="9"/>
      <c r="AA30" s="7">
        <v>335856</v>
      </c>
      <c r="AB30" s="33"/>
      <c r="AC30" s="33"/>
      <c r="AD30" s="33"/>
      <c r="AE30" s="50">
        <v>46221</v>
      </c>
      <c r="AF30" s="44"/>
      <c r="AG30" s="45"/>
      <c r="AH30" s="36"/>
      <c r="AI30" s="36" t="s">
        <v>349</v>
      </c>
    </row>
    <row r="31" spans="1:35" x14ac:dyDescent="0.3">
      <c r="A31" s="43"/>
      <c r="B31" s="13">
        <v>46040</v>
      </c>
      <c r="C31" s="61">
        <v>15012</v>
      </c>
      <c r="D31" s="59" t="s">
        <v>693</v>
      </c>
      <c r="E31" s="59"/>
      <c r="F31" s="15" t="s">
        <v>365</v>
      </c>
      <c r="G31" s="69">
        <v>46069</v>
      </c>
      <c r="H31" s="15" t="s">
        <v>251</v>
      </c>
      <c r="I31" s="29">
        <v>44252</v>
      </c>
      <c r="J31" s="29">
        <v>45839</v>
      </c>
      <c r="K31" s="29" t="s">
        <v>219</v>
      </c>
      <c r="L31" s="29" t="s">
        <v>105</v>
      </c>
      <c r="M31" s="29" t="s">
        <v>23</v>
      </c>
      <c r="N31" s="29" t="s">
        <v>214</v>
      </c>
      <c r="O31" s="32">
        <v>45292</v>
      </c>
      <c r="P31" s="14"/>
      <c r="Q31" s="37"/>
      <c r="R31" s="38"/>
      <c r="S31" s="30"/>
      <c r="T31" s="39"/>
      <c r="U31" s="40"/>
      <c r="V31" s="39"/>
      <c r="W31" s="41"/>
      <c r="X31" s="9"/>
      <c r="Y31" s="9"/>
      <c r="Z31" s="9"/>
      <c r="AA31" s="7">
        <v>178086</v>
      </c>
      <c r="AB31" s="33"/>
      <c r="AC31" s="33"/>
      <c r="AD31" s="33"/>
      <c r="AE31" s="50">
        <v>46221</v>
      </c>
      <c r="AF31" s="44"/>
      <c r="AG31" s="45"/>
      <c r="AH31" s="36"/>
      <c r="AI31" s="36" t="s">
        <v>349</v>
      </c>
    </row>
    <row r="32" spans="1:35" x14ac:dyDescent="0.3">
      <c r="A32" s="43"/>
      <c r="B32" s="13">
        <v>46040</v>
      </c>
      <c r="C32" s="61">
        <v>10017078</v>
      </c>
      <c r="D32" s="30" t="s">
        <v>701</v>
      </c>
      <c r="E32" s="30"/>
      <c r="F32" s="15" t="s">
        <v>464</v>
      </c>
      <c r="G32" s="69">
        <v>46069</v>
      </c>
      <c r="H32" s="15" t="s">
        <v>251</v>
      </c>
      <c r="I32" s="29">
        <v>44730</v>
      </c>
      <c r="J32" s="29">
        <v>45536</v>
      </c>
      <c r="K32" s="29" t="s">
        <v>213</v>
      </c>
      <c r="L32" s="29" t="s">
        <v>67</v>
      </c>
      <c r="M32" s="29" t="s">
        <v>24</v>
      </c>
      <c r="N32" s="29" t="s">
        <v>214</v>
      </c>
      <c r="O32" s="32">
        <v>45292</v>
      </c>
      <c r="P32" s="14"/>
      <c r="Q32" s="37"/>
      <c r="R32" s="38"/>
      <c r="S32" s="30"/>
      <c r="T32" s="39"/>
      <c r="U32" s="40"/>
      <c r="V32" s="39"/>
      <c r="W32" s="41"/>
      <c r="X32" s="9"/>
      <c r="Y32" s="9"/>
      <c r="Z32" s="9"/>
      <c r="AA32" s="7">
        <v>48378</v>
      </c>
      <c r="AB32" s="33"/>
      <c r="AC32" s="33"/>
      <c r="AD32" s="33"/>
      <c r="AE32" s="50">
        <v>46221</v>
      </c>
      <c r="AF32" s="44"/>
      <c r="AG32" s="45"/>
      <c r="AH32" s="36"/>
      <c r="AI32" s="36" t="s">
        <v>349</v>
      </c>
    </row>
    <row r="33" spans="1:35" x14ac:dyDescent="0.3">
      <c r="A33" s="43"/>
      <c r="B33" s="13">
        <v>46040</v>
      </c>
      <c r="C33" s="61">
        <v>10017534</v>
      </c>
      <c r="D33" s="30" t="s">
        <v>533</v>
      </c>
      <c r="E33" s="30"/>
      <c r="F33" s="15" t="s">
        <v>75</v>
      </c>
      <c r="G33" s="69">
        <v>46069</v>
      </c>
      <c r="H33" s="15" t="s">
        <v>251</v>
      </c>
      <c r="I33" s="29">
        <v>44799</v>
      </c>
      <c r="J33" s="29">
        <v>45901</v>
      </c>
      <c r="K33" s="29" t="s">
        <v>211</v>
      </c>
      <c r="L33" s="29" t="s">
        <v>111</v>
      </c>
      <c r="M33" s="29" t="s">
        <v>23</v>
      </c>
      <c r="N33" s="29" t="s">
        <v>212</v>
      </c>
      <c r="O33" s="32"/>
      <c r="P33" s="14"/>
      <c r="Q33" s="37"/>
      <c r="R33" s="38"/>
      <c r="S33" s="30"/>
      <c r="T33" s="39"/>
      <c r="U33" s="40"/>
      <c r="V33" s="39"/>
      <c r="W33" s="41"/>
      <c r="X33" s="9"/>
      <c r="Y33" s="9"/>
      <c r="Z33" s="9"/>
      <c r="AA33" s="7">
        <v>37332</v>
      </c>
      <c r="AB33" s="33"/>
      <c r="AC33" s="33"/>
      <c r="AD33" s="33"/>
      <c r="AE33" s="50">
        <v>46221</v>
      </c>
      <c r="AF33" s="44"/>
      <c r="AG33" s="45"/>
      <c r="AH33" s="36"/>
      <c r="AI33" s="36" t="s">
        <v>349</v>
      </c>
    </row>
    <row r="34" spans="1:35" x14ac:dyDescent="0.3">
      <c r="A34" s="43"/>
      <c r="B34" s="13">
        <v>46040</v>
      </c>
      <c r="C34" s="61">
        <v>10017547</v>
      </c>
      <c r="D34" s="30" t="s">
        <v>534</v>
      </c>
      <c r="E34" s="30"/>
      <c r="F34" s="15" t="s">
        <v>361</v>
      </c>
      <c r="G34" s="69">
        <v>46069</v>
      </c>
      <c r="H34" s="15" t="s">
        <v>251</v>
      </c>
      <c r="I34" s="29">
        <v>44816</v>
      </c>
      <c r="J34" s="29">
        <v>45869</v>
      </c>
      <c r="K34" s="29" t="s">
        <v>304</v>
      </c>
      <c r="L34" s="29" t="s">
        <v>159</v>
      </c>
      <c r="M34" s="29" t="s">
        <v>33</v>
      </c>
      <c r="N34" s="29" t="s">
        <v>223</v>
      </c>
      <c r="O34" s="32">
        <v>45658</v>
      </c>
      <c r="P34" s="14"/>
      <c r="Q34" s="37"/>
      <c r="R34" s="38"/>
      <c r="S34" s="30"/>
      <c r="T34" s="39"/>
      <c r="U34" s="40"/>
      <c r="V34" s="39"/>
      <c r="W34" s="41"/>
      <c r="X34" s="9"/>
      <c r="Y34" s="9"/>
      <c r="Z34" s="9"/>
      <c r="AA34" s="7">
        <v>173002</v>
      </c>
      <c r="AB34" s="33"/>
      <c r="AC34" s="33"/>
      <c r="AD34" s="33"/>
      <c r="AE34" s="50">
        <v>46221</v>
      </c>
      <c r="AF34" s="44"/>
      <c r="AG34" s="45"/>
      <c r="AH34" s="36"/>
      <c r="AI34" s="36" t="s">
        <v>349</v>
      </c>
    </row>
    <row r="35" spans="1:35" x14ac:dyDescent="0.3">
      <c r="A35" s="43"/>
      <c r="B35" s="13">
        <v>46040</v>
      </c>
      <c r="C35" s="61">
        <v>10017731</v>
      </c>
      <c r="D35" s="30" t="s">
        <v>702</v>
      </c>
      <c r="E35" s="30"/>
      <c r="F35" s="15" t="s">
        <v>46</v>
      </c>
      <c r="G35" s="69">
        <v>46069</v>
      </c>
      <c r="H35" s="15" t="s">
        <v>251</v>
      </c>
      <c r="I35" s="29">
        <v>44837</v>
      </c>
      <c r="J35" s="29">
        <v>45504</v>
      </c>
      <c r="K35" s="29" t="s">
        <v>211</v>
      </c>
      <c r="L35" s="29" t="s">
        <v>166</v>
      </c>
      <c r="M35" s="29" t="s">
        <v>23</v>
      </c>
      <c r="N35" s="29" t="s">
        <v>212</v>
      </c>
      <c r="O35" s="32"/>
      <c r="P35" s="14"/>
      <c r="Q35" s="37"/>
      <c r="R35" s="38"/>
      <c r="S35" s="30"/>
      <c r="T35" s="39"/>
      <c r="U35" s="40"/>
      <c r="V35" s="39"/>
      <c r="W35" s="41"/>
      <c r="X35" s="9"/>
      <c r="Y35" s="9"/>
      <c r="Z35" s="9"/>
      <c r="AA35" s="7">
        <v>54182</v>
      </c>
      <c r="AB35" s="33"/>
      <c r="AC35" s="33"/>
      <c r="AD35" s="33"/>
      <c r="AE35" s="50">
        <v>46221</v>
      </c>
      <c r="AF35" s="44"/>
      <c r="AG35" s="45"/>
      <c r="AH35" s="36"/>
      <c r="AI35" s="36" t="s">
        <v>349</v>
      </c>
    </row>
    <row r="36" spans="1:35" x14ac:dyDescent="0.3">
      <c r="A36" s="43"/>
      <c r="B36" s="13">
        <v>46040</v>
      </c>
      <c r="C36" s="61">
        <v>10020686</v>
      </c>
      <c r="D36" s="30" t="s">
        <v>583</v>
      </c>
      <c r="E36" s="30"/>
      <c r="F36" s="15" t="s">
        <v>446</v>
      </c>
      <c r="G36" s="69">
        <v>46069</v>
      </c>
      <c r="H36" s="15" t="s">
        <v>251</v>
      </c>
      <c r="I36" s="29">
        <v>45350</v>
      </c>
      <c r="J36" s="29">
        <v>45908</v>
      </c>
      <c r="K36" s="29" t="s">
        <v>215</v>
      </c>
      <c r="L36" s="29" t="s">
        <v>186</v>
      </c>
      <c r="M36" s="29" t="s">
        <v>23</v>
      </c>
      <c r="N36" s="29" t="s">
        <v>223</v>
      </c>
      <c r="O36" s="32"/>
      <c r="P36" s="14"/>
      <c r="Q36" s="37"/>
      <c r="R36" s="38"/>
      <c r="S36" s="30"/>
      <c r="T36" s="39"/>
      <c r="U36" s="40"/>
      <c r="V36" s="39"/>
      <c r="W36" s="41"/>
      <c r="X36" s="9"/>
      <c r="Y36" s="9"/>
      <c r="Z36" s="9"/>
      <c r="AA36" s="7">
        <v>121648</v>
      </c>
      <c r="AB36" s="33"/>
      <c r="AC36" s="33"/>
      <c r="AD36" s="33"/>
      <c r="AE36" s="50">
        <v>46221</v>
      </c>
      <c r="AF36" s="44"/>
      <c r="AG36" s="45"/>
      <c r="AH36" s="36"/>
      <c r="AI36" s="36" t="s">
        <v>349</v>
      </c>
    </row>
    <row r="37" spans="1:35" x14ac:dyDescent="0.3">
      <c r="A37" s="43"/>
      <c r="B37" s="13">
        <v>46040</v>
      </c>
      <c r="C37" s="61">
        <v>10023842</v>
      </c>
      <c r="D37" s="30" t="s">
        <v>658</v>
      </c>
      <c r="E37" s="30"/>
      <c r="F37" s="15" t="s">
        <v>46</v>
      </c>
      <c r="G37" s="69">
        <v>46069</v>
      </c>
      <c r="H37" s="15" t="s">
        <v>251</v>
      </c>
      <c r="I37" s="29">
        <v>45802</v>
      </c>
      <c r="J37" s="29">
        <v>45889</v>
      </c>
      <c r="K37" s="29" t="s">
        <v>211</v>
      </c>
      <c r="L37" s="29" t="s">
        <v>166</v>
      </c>
      <c r="M37" s="29" t="s">
        <v>23</v>
      </c>
      <c r="N37" s="29" t="s">
        <v>212</v>
      </c>
      <c r="O37" s="32"/>
      <c r="P37" s="14"/>
      <c r="Q37" s="37"/>
      <c r="R37" s="38"/>
      <c r="S37" s="30"/>
      <c r="T37" s="39"/>
      <c r="U37" s="40"/>
      <c r="V37" s="39"/>
      <c r="W37" s="41"/>
      <c r="X37" s="9"/>
      <c r="Y37" s="9"/>
      <c r="Z37" s="9"/>
      <c r="AA37" s="7">
        <v>13037</v>
      </c>
      <c r="AB37" s="33"/>
      <c r="AC37" s="33"/>
      <c r="AD37" s="33"/>
      <c r="AE37" s="50">
        <v>46221</v>
      </c>
      <c r="AF37" s="44"/>
      <c r="AG37" s="45"/>
      <c r="AH37" s="36"/>
      <c r="AI37" s="36" t="s">
        <v>349</v>
      </c>
    </row>
    <row r="38" spans="1:35" x14ac:dyDescent="0.3">
      <c r="A38" s="43"/>
      <c r="B38" s="13">
        <v>46040</v>
      </c>
      <c r="C38" s="61">
        <v>5368</v>
      </c>
      <c r="D38" s="30" t="s">
        <v>493</v>
      </c>
      <c r="E38" s="30"/>
      <c r="F38" s="15" t="s">
        <v>368</v>
      </c>
      <c r="G38" s="69">
        <v>46070</v>
      </c>
      <c r="H38" s="15" t="s">
        <v>251</v>
      </c>
      <c r="I38" s="29">
        <v>41386</v>
      </c>
      <c r="J38" s="29">
        <v>45778</v>
      </c>
      <c r="K38" s="29" t="s">
        <v>219</v>
      </c>
      <c r="L38" s="29" t="s">
        <v>132</v>
      </c>
      <c r="M38" s="29" t="s">
        <v>23</v>
      </c>
      <c r="N38" s="29" t="s">
        <v>214</v>
      </c>
      <c r="O38" s="32"/>
      <c r="P38" s="14"/>
      <c r="Q38" s="37"/>
      <c r="R38" s="38"/>
      <c r="S38" s="30"/>
      <c r="T38" s="39"/>
      <c r="U38" s="40"/>
      <c r="V38" s="39"/>
      <c r="W38" s="41"/>
      <c r="X38" s="9"/>
      <c r="Y38" s="9"/>
      <c r="Z38" s="9"/>
      <c r="AA38" s="7">
        <v>992890</v>
      </c>
      <c r="AB38" s="33"/>
      <c r="AC38" s="33"/>
      <c r="AD38" s="33"/>
      <c r="AE38" s="50">
        <v>46221</v>
      </c>
      <c r="AF38" s="44"/>
      <c r="AG38" s="45"/>
      <c r="AH38" s="36"/>
      <c r="AI38" s="36" t="s">
        <v>349</v>
      </c>
    </row>
    <row r="39" spans="1:35" x14ac:dyDescent="0.3">
      <c r="A39" s="43"/>
      <c r="B39" s="13">
        <v>46040</v>
      </c>
      <c r="C39" s="61">
        <v>10976</v>
      </c>
      <c r="D39" s="30" t="s">
        <v>687</v>
      </c>
      <c r="E39" s="30"/>
      <c r="F39" s="15" t="s">
        <v>70</v>
      </c>
      <c r="G39" s="69">
        <v>46070</v>
      </c>
      <c r="H39" s="15" t="s">
        <v>251</v>
      </c>
      <c r="I39" s="29">
        <v>43226</v>
      </c>
      <c r="J39" s="29">
        <v>45603</v>
      </c>
      <c r="K39" s="29" t="s">
        <v>219</v>
      </c>
      <c r="L39" s="29" t="s">
        <v>142</v>
      </c>
      <c r="M39" s="29" t="s">
        <v>23</v>
      </c>
      <c r="N39" s="29" t="s">
        <v>214</v>
      </c>
      <c r="O39" s="32"/>
      <c r="P39" s="14"/>
      <c r="Q39" s="37"/>
      <c r="R39" s="38"/>
      <c r="S39" s="30"/>
      <c r="T39" s="39"/>
      <c r="U39" s="40"/>
      <c r="V39" s="39"/>
      <c r="W39" s="41"/>
      <c r="X39" s="9"/>
      <c r="Y39" s="9"/>
      <c r="Z39" s="9"/>
      <c r="AA39" s="7">
        <v>362064</v>
      </c>
      <c r="AB39" s="33"/>
      <c r="AC39" s="33"/>
      <c r="AD39" s="33"/>
      <c r="AE39" s="50">
        <v>46221</v>
      </c>
      <c r="AF39" s="44"/>
      <c r="AG39" s="45"/>
      <c r="AH39" s="36"/>
      <c r="AI39" s="36" t="s">
        <v>349</v>
      </c>
    </row>
    <row r="40" spans="1:35" x14ac:dyDescent="0.3">
      <c r="A40" s="43"/>
      <c r="B40" s="13">
        <v>46040</v>
      </c>
      <c r="C40" s="61">
        <v>14716</v>
      </c>
      <c r="D40" s="30" t="s">
        <v>692</v>
      </c>
      <c r="E40" s="30"/>
      <c r="F40" s="15" t="s">
        <v>447</v>
      </c>
      <c r="G40" s="69">
        <v>46070</v>
      </c>
      <c r="H40" s="15" t="s">
        <v>251</v>
      </c>
      <c r="I40" s="29">
        <v>44197</v>
      </c>
      <c r="J40" s="29">
        <v>45820</v>
      </c>
      <c r="K40" s="29" t="s">
        <v>219</v>
      </c>
      <c r="L40" s="29" t="s">
        <v>180</v>
      </c>
      <c r="M40" s="29" t="s">
        <v>23</v>
      </c>
      <c r="N40" s="29" t="s">
        <v>214</v>
      </c>
      <c r="O40" s="32">
        <v>44562</v>
      </c>
      <c r="P40" s="14"/>
      <c r="Q40" s="37"/>
      <c r="R40" s="38"/>
      <c r="S40" s="30"/>
      <c r="T40" s="39"/>
      <c r="U40" s="40"/>
      <c r="V40" s="39"/>
      <c r="W40" s="41"/>
      <c r="X40" s="9"/>
      <c r="Y40" s="9"/>
      <c r="Z40" s="9"/>
      <c r="AA40" s="7">
        <v>211052</v>
      </c>
      <c r="AB40" s="33"/>
      <c r="AC40" s="33"/>
      <c r="AD40" s="33"/>
      <c r="AE40" s="50">
        <v>46221</v>
      </c>
      <c r="AF40" s="44"/>
      <c r="AG40" s="45"/>
      <c r="AH40" s="36"/>
      <c r="AI40" s="36" t="s">
        <v>349</v>
      </c>
    </row>
    <row r="41" spans="1:35" x14ac:dyDescent="0.3">
      <c r="A41" s="43"/>
      <c r="B41" s="13">
        <v>46040</v>
      </c>
      <c r="C41" s="61">
        <v>15338</v>
      </c>
      <c r="D41" s="30" t="s">
        <v>694</v>
      </c>
      <c r="E41" s="30"/>
      <c r="F41" s="15" t="s">
        <v>408</v>
      </c>
      <c r="G41" s="69">
        <v>46070</v>
      </c>
      <c r="H41" s="15" t="s">
        <v>251</v>
      </c>
      <c r="I41" s="29">
        <v>44318</v>
      </c>
      <c r="J41" s="29">
        <v>45870</v>
      </c>
      <c r="K41" s="29" t="s">
        <v>220</v>
      </c>
      <c r="L41" s="29" t="s">
        <v>128</v>
      </c>
      <c r="M41" s="29" t="s">
        <v>17</v>
      </c>
      <c r="N41" s="29" t="s">
        <v>221</v>
      </c>
      <c r="O41" s="32"/>
      <c r="P41" s="14"/>
      <c r="Q41" s="37"/>
      <c r="R41" s="38"/>
      <c r="S41" s="30"/>
      <c r="T41" s="39"/>
      <c r="U41" s="40"/>
      <c r="V41" s="39"/>
      <c r="W41" s="41"/>
      <c r="X41" s="9"/>
      <c r="Y41" s="9"/>
      <c r="Z41" s="9"/>
      <c r="AA41" s="7">
        <v>63408</v>
      </c>
      <c r="AB41" s="33"/>
      <c r="AC41" s="33"/>
      <c r="AD41" s="33"/>
      <c r="AE41" s="50">
        <v>46221</v>
      </c>
      <c r="AF41" s="44"/>
      <c r="AG41" s="45"/>
      <c r="AH41" s="36"/>
      <c r="AI41" s="36" t="s">
        <v>349</v>
      </c>
    </row>
    <row r="42" spans="1:35" x14ac:dyDescent="0.3">
      <c r="A42" s="43"/>
      <c r="B42" s="13">
        <v>46040</v>
      </c>
      <c r="C42" s="61">
        <v>15467</v>
      </c>
      <c r="D42" s="30" t="s">
        <v>518</v>
      </c>
      <c r="E42" s="30"/>
      <c r="F42" s="15" t="s">
        <v>482</v>
      </c>
      <c r="G42" s="69">
        <v>46070</v>
      </c>
      <c r="H42" s="15" t="s">
        <v>251</v>
      </c>
      <c r="I42" s="29">
        <v>44350</v>
      </c>
      <c r="J42" s="29">
        <v>45813</v>
      </c>
      <c r="K42" s="29" t="s">
        <v>219</v>
      </c>
      <c r="L42" s="29" t="s">
        <v>164</v>
      </c>
      <c r="M42" s="29" t="s">
        <v>23</v>
      </c>
      <c r="N42" s="29" t="s">
        <v>214</v>
      </c>
      <c r="O42" s="32">
        <v>45292</v>
      </c>
      <c r="P42" s="14"/>
      <c r="Q42" s="37"/>
      <c r="R42" s="38"/>
      <c r="S42" s="30"/>
      <c r="T42" s="39"/>
      <c r="U42" s="40"/>
      <c r="V42" s="39"/>
      <c r="W42" s="41"/>
      <c r="X42" s="9"/>
      <c r="Y42" s="9"/>
      <c r="Z42" s="9"/>
      <c r="AA42" s="7">
        <v>16325</v>
      </c>
      <c r="AB42" s="33"/>
      <c r="AC42" s="33"/>
      <c r="AD42" s="33"/>
      <c r="AE42" s="50">
        <v>46221</v>
      </c>
      <c r="AF42" s="44"/>
      <c r="AG42" s="45"/>
      <c r="AH42" s="36"/>
      <c r="AI42" s="36" t="s">
        <v>349</v>
      </c>
    </row>
    <row r="43" spans="1:35" x14ac:dyDescent="0.3">
      <c r="A43" s="43"/>
      <c r="B43" s="13">
        <v>46040</v>
      </c>
      <c r="C43" s="61">
        <v>10016569</v>
      </c>
      <c r="D43" s="30" t="s">
        <v>521</v>
      </c>
      <c r="E43" s="30"/>
      <c r="F43" s="15" t="s">
        <v>461</v>
      </c>
      <c r="G43" s="69">
        <v>46070</v>
      </c>
      <c r="H43" s="15" t="s">
        <v>251</v>
      </c>
      <c r="I43" s="29">
        <v>44606</v>
      </c>
      <c r="J43" s="29">
        <v>45962</v>
      </c>
      <c r="K43" s="29" t="s">
        <v>220</v>
      </c>
      <c r="L43" s="29" t="s">
        <v>94</v>
      </c>
      <c r="M43" s="29" t="s">
        <v>17</v>
      </c>
      <c r="N43" s="29" t="s">
        <v>221</v>
      </c>
      <c r="O43" s="32"/>
      <c r="P43" s="14"/>
      <c r="Q43" s="37"/>
      <c r="R43" s="38"/>
      <c r="S43" s="30"/>
      <c r="T43" s="39"/>
      <c r="U43" s="40"/>
      <c r="V43" s="39"/>
      <c r="W43" s="41"/>
      <c r="X43" s="9"/>
      <c r="Y43" s="9"/>
      <c r="Z43" s="9"/>
      <c r="AA43" s="7">
        <v>61582</v>
      </c>
      <c r="AB43" s="33"/>
      <c r="AC43" s="33"/>
      <c r="AD43" s="33"/>
      <c r="AE43" s="50">
        <v>46221</v>
      </c>
      <c r="AF43" s="44"/>
      <c r="AG43" s="45"/>
      <c r="AH43" s="36"/>
      <c r="AI43" s="36" t="s">
        <v>349</v>
      </c>
    </row>
    <row r="44" spans="1:35" x14ac:dyDescent="0.3">
      <c r="A44" s="43"/>
      <c r="B44" s="13">
        <v>46040</v>
      </c>
      <c r="C44" s="61">
        <v>10017370</v>
      </c>
      <c r="D44" s="30" t="s">
        <v>529</v>
      </c>
      <c r="E44" s="30"/>
      <c r="F44" s="15" t="s">
        <v>456</v>
      </c>
      <c r="G44" s="69">
        <v>46070</v>
      </c>
      <c r="H44" s="15" t="s">
        <v>251</v>
      </c>
      <c r="I44" s="29">
        <v>44780</v>
      </c>
      <c r="J44" s="29">
        <v>45536</v>
      </c>
      <c r="K44" s="29" t="s">
        <v>219</v>
      </c>
      <c r="L44" s="29" t="s">
        <v>141</v>
      </c>
      <c r="M44" s="29" t="s">
        <v>23</v>
      </c>
      <c r="N44" s="29" t="s">
        <v>214</v>
      </c>
      <c r="O44" s="32"/>
      <c r="P44" s="14"/>
      <c r="Q44" s="37"/>
      <c r="R44" s="38"/>
      <c r="S44" s="30"/>
      <c r="T44" s="39"/>
      <c r="U44" s="40"/>
      <c r="V44" s="39"/>
      <c r="W44" s="41"/>
      <c r="X44" s="9"/>
      <c r="Y44" s="9"/>
      <c r="Z44" s="9"/>
      <c r="AA44" s="7">
        <v>43702</v>
      </c>
      <c r="AB44" s="33"/>
      <c r="AC44" s="33"/>
      <c r="AD44" s="33"/>
      <c r="AE44" s="50">
        <v>46221</v>
      </c>
      <c r="AF44" s="44"/>
      <c r="AG44" s="45"/>
      <c r="AH44" s="36"/>
      <c r="AI44" s="36" t="s">
        <v>349</v>
      </c>
    </row>
    <row r="45" spans="1:35" x14ac:dyDescent="0.3">
      <c r="A45" s="43"/>
      <c r="B45" s="13">
        <v>46040</v>
      </c>
      <c r="C45" s="61">
        <v>10017495</v>
      </c>
      <c r="D45" s="30" t="s">
        <v>531</v>
      </c>
      <c r="E45" s="30"/>
      <c r="F45" s="15" t="s">
        <v>454</v>
      </c>
      <c r="G45" s="69">
        <v>46070</v>
      </c>
      <c r="H45" s="15" t="s">
        <v>251</v>
      </c>
      <c r="I45" s="29">
        <v>44804</v>
      </c>
      <c r="J45" s="29">
        <v>45629</v>
      </c>
      <c r="K45" s="29" t="s">
        <v>219</v>
      </c>
      <c r="L45" s="29" t="s">
        <v>189</v>
      </c>
      <c r="M45" s="29" t="s">
        <v>23</v>
      </c>
      <c r="N45" s="29" t="s">
        <v>214</v>
      </c>
      <c r="O45" s="32"/>
      <c r="P45" s="14"/>
      <c r="Q45" s="37"/>
      <c r="R45" s="38"/>
      <c r="S45" s="30"/>
      <c r="T45" s="39"/>
      <c r="U45" s="40"/>
      <c r="V45" s="39"/>
      <c r="W45" s="41"/>
      <c r="X45" s="9"/>
      <c r="Y45" s="9"/>
      <c r="Z45" s="9"/>
      <c r="AA45" s="7">
        <v>78917</v>
      </c>
      <c r="AB45" s="33"/>
      <c r="AC45" s="33"/>
      <c r="AD45" s="33"/>
      <c r="AE45" s="50">
        <v>46221</v>
      </c>
      <c r="AF45" s="44"/>
      <c r="AG45" s="45"/>
      <c r="AH45" s="36"/>
      <c r="AI45" s="36" t="s">
        <v>349</v>
      </c>
    </row>
    <row r="46" spans="1:35" x14ac:dyDescent="0.3">
      <c r="A46" s="43"/>
      <c r="B46" s="13">
        <v>46040</v>
      </c>
      <c r="C46" s="61">
        <v>10019845</v>
      </c>
      <c r="D46" s="30" t="s">
        <v>567</v>
      </c>
      <c r="E46" s="30"/>
      <c r="F46" s="15" t="s">
        <v>401</v>
      </c>
      <c r="G46" s="69">
        <v>46070</v>
      </c>
      <c r="H46" s="15" t="s">
        <v>251</v>
      </c>
      <c r="I46" s="29">
        <v>45240</v>
      </c>
      <c r="J46" s="29">
        <v>45809</v>
      </c>
      <c r="K46" s="29" t="s">
        <v>211</v>
      </c>
      <c r="L46" s="29" t="s">
        <v>120</v>
      </c>
      <c r="M46" s="29" t="s">
        <v>23</v>
      </c>
      <c r="N46" s="29" t="s">
        <v>212</v>
      </c>
      <c r="O46" s="32"/>
      <c r="P46" s="14"/>
      <c r="Q46" s="37"/>
      <c r="R46" s="38"/>
      <c r="S46" s="30"/>
      <c r="T46" s="39"/>
      <c r="U46" s="40"/>
      <c r="V46" s="39"/>
      <c r="W46" s="41"/>
      <c r="X46" s="9"/>
      <c r="Y46" s="9"/>
      <c r="Z46" s="9"/>
      <c r="AA46" s="7">
        <v>29067</v>
      </c>
      <c r="AB46" s="33"/>
      <c r="AC46" s="33"/>
      <c r="AD46" s="33"/>
      <c r="AE46" s="50">
        <v>46221</v>
      </c>
      <c r="AF46" s="44"/>
      <c r="AG46" s="45"/>
      <c r="AH46" s="36"/>
      <c r="AI46" s="36" t="s">
        <v>349</v>
      </c>
    </row>
    <row r="47" spans="1:35" x14ac:dyDescent="0.3">
      <c r="A47" s="43"/>
      <c r="B47" s="13">
        <v>46040</v>
      </c>
      <c r="C47" s="61">
        <v>30017738</v>
      </c>
      <c r="D47" s="30" t="s">
        <v>662</v>
      </c>
      <c r="E47" s="30"/>
      <c r="F47" s="15" t="s">
        <v>434</v>
      </c>
      <c r="G47" s="69">
        <v>46070</v>
      </c>
      <c r="H47" s="15" t="s">
        <v>251</v>
      </c>
      <c r="I47" s="29">
        <v>45597</v>
      </c>
      <c r="J47" s="29">
        <v>45855</v>
      </c>
      <c r="K47" s="29" t="s">
        <v>228</v>
      </c>
      <c r="L47" s="29" t="s">
        <v>149</v>
      </c>
      <c r="M47" s="29" t="s">
        <v>40</v>
      </c>
      <c r="N47" s="29" t="s">
        <v>221</v>
      </c>
      <c r="O47" s="32"/>
      <c r="P47" s="14"/>
      <c r="Q47" s="37"/>
      <c r="R47" s="38"/>
      <c r="S47" s="30"/>
      <c r="T47" s="39"/>
      <c r="U47" s="40"/>
      <c r="V47" s="39"/>
      <c r="W47" s="41"/>
      <c r="X47" s="9"/>
      <c r="Y47" s="9"/>
      <c r="Z47" s="9"/>
      <c r="AA47" s="7">
        <v>8209</v>
      </c>
      <c r="AB47" s="33"/>
      <c r="AC47" s="33"/>
      <c r="AD47" s="33"/>
      <c r="AE47" s="50">
        <v>46221</v>
      </c>
      <c r="AF47" s="44"/>
      <c r="AG47" s="45"/>
      <c r="AH47" s="36"/>
      <c r="AI47" s="36" t="s">
        <v>349</v>
      </c>
    </row>
    <row r="48" spans="1:35" x14ac:dyDescent="0.3">
      <c r="A48" s="43"/>
      <c r="B48" s="13">
        <v>46040</v>
      </c>
      <c r="C48" s="61">
        <v>10235</v>
      </c>
      <c r="D48" s="59" t="s">
        <v>699</v>
      </c>
      <c r="E48" s="59"/>
      <c r="F48" s="15" t="s">
        <v>505</v>
      </c>
      <c r="G48" s="69">
        <v>46071</v>
      </c>
      <c r="H48" s="15" t="s">
        <v>251</v>
      </c>
      <c r="I48" s="29">
        <v>43040</v>
      </c>
      <c r="J48" s="29">
        <v>45658</v>
      </c>
      <c r="K48" s="29" t="s">
        <v>219</v>
      </c>
      <c r="L48" s="29" t="s">
        <v>161</v>
      </c>
      <c r="M48" s="29" t="s">
        <v>23</v>
      </c>
      <c r="N48" s="29" t="s">
        <v>214</v>
      </c>
      <c r="O48" s="32"/>
      <c r="P48" s="14"/>
      <c r="Q48" s="37"/>
      <c r="R48" s="38"/>
      <c r="S48" s="30"/>
      <c r="T48" s="39"/>
      <c r="U48" s="40"/>
      <c r="V48" s="39"/>
      <c r="W48" s="41"/>
      <c r="X48" s="9"/>
      <c r="Y48" s="9"/>
      <c r="Z48" s="9"/>
      <c r="AA48" s="7">
        <v>0</v>
      </c>
      <c r="AB48" s="33"/>
      <c r="AC48" s="33"/>
      <c r="AD48" s="33"/>
      <c r="AE48" s="50">
        <v>46221</v>
      </c>
      <c r="AF48" s="44"/>
      <c r="AG48" s="45"/>
      <c r="AH48" s="36"/>
      <c r="AI48" s="36" t="s">
        <v>349</v>
      </c>
    </row>
    <row r="49" spans="1:35" x14ac:dyDescent="0.3">
      <c r="A49" s="43"/>
      <c r="B49" s="13">
        <v>46040</v>
      </c>
      <c r="C49" s="61">
        <v>11000</v>
      </c>
      <c r="D49" s="30" t="s">
        <v>506</v>
      </c>
      <c r="E49" s="30"/>
      <c r="F49" s="15" t="s">
        <v>370</v>
      </c>
      <c r="G49" s="69">
        <v>46071</v>
      </c>
      <c r="H49" s="15" t="s">
        <v>251</v>
      </c>
      <c r="I49" s="29">
        <v>43221</v>
      </c>
      <c r="J49" s="29">
        <v>45809</v>
      </c>
      <c r="K49" s="29" t="s">
        <v>216</v>
      </c>
      <c r="L49" s="29" t="s">
        <v>168</v>
      </c>
      <c r="M49" s="29" t="s">
        <v>23</v>
      </c>
      <c r="N49" s="29" t="s">
        <v>217</v>
      </c>
      <c r="O49" s="32">
        <v>45300</v>
      </c>
      <c r="P49" s="14"/>
      <c r="Q49" s="37"/>
      <c r="R49" s="38"/>
      <c r="S49" s="30"/>
      <c r="T49" s="39"/>
      <c r="U49" s="40"/>
      <c r="V49" s="39"/>
      <c r="W49" s="41"/>
      <c r="X49" s="9"/>
      <c r="Y49" s="9"/>
      <c r="Z49" s="9"/>
      <c r="AA49" s="7">
        <v>488460</v>
      </c>
      <c r="AB49" s="33"/>
      <c r="AC49" s="33"/>
      <c r="AD49" s="33"/>
      <c r="AE49" s="50">
        <v>46221</v>
      </c>
      <c r="AF49" s="44"/>
      <c r="AG49" s="45"/>
      <c r="AH49" s="36"/>
      <c r="AI49" s="36" t="s">
        <v>349</v>
      </c>
    </row>
    <row r="50" spans="1:35" x14ac:dyDescent="0.3">
      <c r="A50" s="43"/>
      <c r="B50" s="13">
        <v>46040</v>
      </c>
      <c r="C50" s="61">
        <v>12575</v>
      </c>
      <c r="D50" s="30" t="s">
        <v>689</v>
      </c>
      <c r="E50" s="30"/>
      <c r="F50" s="15" t="s">
        <v>389</v>
      </c>
      <c r="G50" s="69">
        <v>46071</v>
      </c>
      <c r="H50" s="15" t="s">
        <v>251</v>
      </c>
      <c r="I50" s="29">
        <v>43563</v>
      </c>
      <c r="J50" s="29">
        <v>45778</v>
      </c>
      <c r="K50" s="29" t="s">
        <v>234</v>
      </c>
      <c r="L50" s="29" t="s">
        <v>165</v>
      </c>
      <c r="M50" s="29" t="s">
        <v>17</v>
      </c>
      <c r="N50" s="29" t="s">
        <v>227</v>
      </c>
      <c r="O50" s="32">
        <v>44927</v>
      </c>
      <c r="P50" s="14"/>
      <c r="Q50" s="37"/>
      <c r="R50" s="38"/>
      <c r="S50" s="30"/>
      <c r="T50" s="39"/>
      <c r="U50" s="40"/>
      <c r="V50" s="39"/>
      <c r="W50" s="41"/>
      <c r="X50" s="9"/>
      <c r="Y50" s="9"/>
      <c r="Z50" s="9"/>
      <c r="AA50" s="7">
        <v>165789</v>
      </c>
      <c r="AB50" s="33"/>
      <c r="AC50" s="33"/>
      <c r="AD50" s="33"/>
      <c r="AE50" s="50">
        <v>46221</v>
      </c>
      <c r="AF50" s="44"/>
      <c r="AG50" s="45"/>
      <c r="AH50" s="36"/>
      <c r="AI50" s="36" t="s">
        <v>349</v>
      </c>
    </row>
    <row r="51" spans="1:35" x14ac:dyDescent="0.3">
      <c r="A51" s="43"/>
      <c r="B51" s="13">
        <v>46040</v>
      </c>
      <c r="C51" s="61">
        <v>10016919</v>
      </c>
      <c r="D51" s="30" t="s">
        <v>525</v>
      </c>
      <c r="E51" s="30"/>
      <c r="F51" s="15" t="s">
        <v>372</v>
      </c>
      <c r="G51" s="69">
        <v>46071</v>
      </c>
      <c r="H51" s="15" t="s">
        <v>251</v>
      </c>
      <c r="I51" s="29">
        <v>44692</v>
      </c>
      <c r="J51" s="29">
        <v>45839</v>
      </c>
      <c r="K51" s="29" t="s">
        <v>219</v>
      </c>
      <c r="L51" s="29" t="s">
        <v>123</v>
      </c>
      <c r="M51" s="29" t="s">
        <v>293</v>
      </c>
      <c r="N51" s="29" t="s">
        <v>214</v>
      </c>
      <c r="O51" s="32"/>
      <c r="P51" s="14"/>
      <c r="Q51" s="37"/>
      <c r="R51" s="38"/>
      <c r="S51" s="30"/>
      <c r="T51" s="39"/>
      <c r="U51" s="40"/>
      <c r="V51" s="39"/>
      <c r="W51" s="41"/>
      <c r="X51" s="9"/>
      <c r="Y51" s="9"/>
      <c r="Z51" s="9"/>
      <c r="AA51" s="7">
        <v>133713</v>
      </c>
      <c r="AB51" s="33"/>
      <c r="AC51" s="33"/>
      <c r="AD51" s="33"/>
      <c r="AE51" s="50">
        <v>46221</v>
      </c>
      <c r="AF51" s="44"/>
      <c r="AG51" s="45"/>
      <c r="AH51" s="36"/>
      <c r="AI51" s="36" t="s">
        <v>349</v>
      </c>
    </row>
    <row r="52" spans="1:35" x14ac:dyDescent="0.3">
      <c r="A52" s="43"/>
      <c r="B52" s="13">
        <v>46040</v>
      </c>
      <c r="C52" s="61">
        <v>10017024</v>
      </c>
      <c r="D52" s="30" t="s">
        <v>527</v>
      </c>
      <c r="E52" s="30"/>
      <c r="F52" s="15" t="s">
        <v>453</v>
      </c>
      <c r="G52" s="69">
        <v>46071</v>
      </c>
      <c r="H52" s="15" t="s">
        <v>251</v>
      </c>
      <c r="I52" s="29">
        <v>44713</v>
      </c>
      <c r="J52" s="29">
        <v>45397</v>
      </c>
      <c r="K52" s="29" t="s">
        <v>213</v>
      </c>
      <c r="L52" s="29" t="s">
        <v>177</v>
      </c>
      <c r="M52" s="29" t="s">
        <v>23</v>
      </c>
      <c r="N52" s="29" t="s">
        <v>214</v>
      </c>
      <c r="O52" s="32">
        <v>45292</v>
      </c>
      <c r="P52" s="14"/>
      <c r="Q52" s="37"/>
      <c r="R52" s="38"/>
      <c r="S52" s="30"/>
      <c r="T52" s="39"/>
      <c r="U52" s="40"/>
      <c r="V52" s="39"/>
      <c r="W52" s="41"/>
      <c r="X52" s="9"/>
      <c r="Y52" s="9"/>
      <c r="Z52" s="9"/>
      <c r="AA52" s="7">
        <v>74027</v>
      </c>
      <c r="AB52" s="33"/>
      <c r="AC52" s="33"/>
      <c r="AD52" s="33"/>
      <c r="AE52" s="50">
        <v>46221</v>
      </c>
      <c r="AF52" s="44"/>
      <c r="AG52" s="45"/>
      <c r="AH52" s="36"/>
      <c r="AI52" s="36" t="s">
        <v>349</v>
      </c>
    </row>
    <row r="53" spans="1:35" x14ac:dyDescent="0.3">
      <c r="A53" s="43"/>
      <c r="B53" s="13">
        <v>46040</v>
      </c>
      <c r="C53" s="61">
        <v>10017599</v>
      </c>
      <c r="D53" s="30" t="s">
        <v>536</v>
      </c>
      <c r="E53" s="30"/>
      <c r="F53" s="15" t="s">
        <v>452</v>
      </c>
      <c r="G53" s="69">
        <v>46071</v>
      </c>
      <c r="H53" s="15" t="s">
        <v>251</v>
      </c>
      <c r="I53" s="29">
        <v>44813</v>
      </c>
      <c r="J53" s="29">
        <v>45931</v>
      </c>
      <c r="K53" s="29" t="s">
        <v>211</v>
      </c>
      <c r="L53" s="29" t="s">
        <v>111</v>
      </c>
      <c r="M53" s="29" t="s">
        <v>23</v>
      </c>
      <c r="N53" s="29" t="s">
        <v>212</v>
      </c>
      <c r="O53" s="32"/>
      <c r="P53" s="14"/>
      <c r="Q53" s="37"/>
      <c r="R53" s="38"/>
      <c r="S53" s="30"/>
      <c r="T53" s="39"/>
      <c r="U53" s="40"/>
      <c r="V53" s="39"/>
      <c r="W53" s="41"/>
      <c r="X53" s="9"/>
      <c r="Y53" s="9"/>
      <c r="Z53" s="9"/>
      <c r="AA53" s="7">
        <v>98757</v>
      </c>
      <c r="AB53" s="33"/>
      <c r="AC53" s="33"/>
      <c r="AD53" s="33"/>
      <c r="AE53" s="50">
        <v>46221</v>
      </c>
      <c r="AF53" s="44"/>
      <c r="AG53" s="45"/>
      <c r="AH53" s="36"/>
      <c r="AI53" s="36" t="s">
        <v>349</v>
      </c>
    </row>
    <row r="54" spans="1:35" x14ac:dyDescent="0.3">
      <c r="A54" s="43"/>
      <c r="B54" s="13">
        <v>46040</v>
      </c>
      <c r="C54" s="61">
        <v>10018512</v>
      </c>
      <c r="D54" s="30" t="s">
        <v>544</v>
      </c>
      <c r="E54" s="30"/>
      <c r="F54" s="15" t="s">
        <v>455</v>
      </c>
      <c r="G54" s="69">
        <v>46071</v>
      </c>
      <c r="H54" s="15" t="s">
        <v>251</v>
      </c>
      <c r="I54" s="29">
        <v>45010</v>
      </c>
      <c r="J54" s="29">
        <v>45901</v>
      </c>
      <c r="K54" s="29" t="s">
        <v>211</v>
      </c>
      <c r="L54" s="29" t="s">
        <v>177</v>
      </c>
      <c r="M54" s="29" t="s">
        <v>24</v>
      </c>
      <c r="N54" s="29" t="s">
        <v>212</v>
      </c>
      <c r="O54" s="32"/>
      <c r="P54" s="14"/>
      <c r="Q54" s="37"/>
      <c r="R54" s="38"/>
      <c r="S54" s="30"/>
      <c r="T54" s="39"/>
      <c r="U54" s="40"/>
      <c r="V54" s="39"/>
      <c r="W54" s="41"/>
      <c r="X54" s="9"/>
      <c r="Y54" s="9"/>
      <c r="Z54" s="9"/>
      <c r="AA54" s="7">
        <v>65065</v>
      </c>
      <c r="AB54" s="33"/>
      <c r="AC54" s="33"/>
      <c r="AD54" s="33"/>
      <c r="AE54" s="50">
        <v>46221</v>
      </c>
      <c r="AF54" s="44"/>
      <c r="AG54" s="45"/>
      <c r="AH54" s="36"/>
      <c r="AI54" s="36" t="s">
        <v>349</v>
      </c>
    </row>
    <row r="55" spans="1:35" x14ac:dyDescent="0.3">
      <c r="A55" s="43"/>
      <c r="B55" s="13">
        <v>46040</v>
      </c>
      <c r="C55" s="61">
        <v>10018895</v>
      </c>
      <c r="D55" s="30" t="s">
        <v>550</v>
      </c>
      <c r="E55" s="30"/>
      <c r="F55" s="15" t="s">
        <v>382</v>
      </c>
      <c r="G55" s="69">
        <v>46071</v>
      </c>
      <c r="H55" s="15" t="s">
        <v>251</v>
      </c>
      <c r="I55" s="29">
        <v>45055</v>
      </c>
      <c r="J55" s="29">
        <v>45748</v>
      </c>
      <c r="K55" s="29" t="s">
        <v>211</v>
      </c>
      <c r="L55" s="29" t="s">
        <v>129</v>
      </c>
      <c r="M55" s="29" t="s">
        <v>23</v>
      </c>
      <c r="N55" s="29" t="s">
        <v>212</v>
      </c>
      <c r="O55" s="32"/>
      <c r="P55" s="14"/>
      <c r="Q55" s="37"/>
      <c r="R55" s="38"/>
      <c r="S55" s="30"/>
      <c r="T55" s="39"/>
      <c r="U55" s="40"/>
      <c r="V55" s="39"/>
      <c r="W55" s="41"/>
      <c r="X55" s="9"/>
      <c r="Y55" s="9"/>
      <c r="Z55" s="9"/>
      <c r="AA55" s="7">
        <v>49009</v>
      </c>
      <c r="AB55" s="33"/>
      <c r="AC55" s="33"/>
      <c r="AD55" s="33"/>
      <c r="AE55" s="50">
        <v>46221</v>
      </c>
      <c r="AF55" s="44"/>
      <c r="AG55" s="45"/>
      <c r="AH55" s="36"/>
      <c r="AI55" s="36" t="s">
        <v>349</v>
      </c>
    </row>
    <row r="56" spans="1:35" x14ac:dyDescent="0.3">
      <c r="A56" s="43"/>
      <c r="B56" s="13">
        <v>46040</v>
      </c>
      <c r="C56" s="61">
        <v>10019244</v>
      </c>
      <c r="D56" s="30" t="s">
        <v>559</v>
      </c>
      <c r="E56" s="30"/>
      <c r="F56" s="15" t="s">
        <v>374</v>
      </c>
      <c r="G56" s="69">
        <v>46071</v>
      </c>
      <c r="H56" s="15" t="s">
        <v>251</v>
      </c>
      <c r="I56" s="29">
        <v>45130</v>
      </c>
      <c r="J56" s="29">
        <v>45778</v>
      </c>
      <c r="K56" s="29" t="s">
        <v>211</v>
      </c>
      <c r="L56" s="29" t="s">
        <v>123</v>
      </c>
      <c r="M56" s="29" t="s">
        <v>24</v>
      </c>
      <c r="N56" s="29" t="s">
        <v>212</v>
      </c>
      <c r="O56" s="32"/>
      <c r="P56" s="14"/>
      <c r="Q56" s="37"/>
      <c r="R56" s="38"/>
      <c r="S56" s="30"/>
      <c r="T56" s="39"/>
      <c r="U56" s="40"/>
      <c r="V56" s="39"/>
      <c r="W56" s="41"/>
      <c r="X56" s="9"/>
      <c r="Y56" s="9"/>
      <c r="Z56" s="9"/>
      <c r="AA56" s="7">
        <v>70541</v>
      </c>
      <c r="AB56" s="33"/>
      <c r="AC56" s="33"/>
      <c r="AD56" s="33"/>
      <c r="AE56" s="50">
        <v>46221</v>
      </c>
      <c r="AF56" s="44"/>
      <c r="AG56" s="45"/>
      <c r="AH56" s="36"/>
      <c r="AI56" s="36" t="s">
        <v>349</v>
      </c>
    </row>
    <row r="57" spans="1:35" x14ac:dyDescent="0.3">
      <c r="A57" s="43"/>
      <c r="B57" s="13">
        <v>46040</v>
      </c>
      <c r="C57" s="61">
        <v>10022186</v>
      </c>
      <c r="D57" s="30" t="s">
        <v>622</v>
      </c>
      <c r="E57" s="30"/>
      <c r="F57" s="15" t="s">
        <v>450</v>
      </c>
      <c r="G57" s="69">
        <v>46071</v>
      </c>
      <c r="H57" s="15" t="s">
        <v>251</v>
      </c>
      <c r="I57" s="29">
        <v>45600</v>
      </c>
      <c r="J57" s="29">
        <v>45931</v>
      </c>
      <c r="K57" s="29" t="s">
        <v>623</v>
      </c>
      <c r="L57" s="29" t="s">
        <v>624</v>
      </c>
      <c r="M57" s="29" t="s">
        <v>264</v>
      </c>
      <c r="N57" s="29" t="s">
        <v>217</v>
      </c>
      <c r="O57" s="32"/>
      <c r="P57" s="14"/>
      <c r="Q57" s="37"/>
      <c r="R57" s="38"/>
      <c r="S57" s="30"/>
      <c r="T57" s="39"/>
      <c r="U57" s="40"/>
      <c r="V57" s="39"/>
      <c r="W57" s="41"/>
      <c r="X57" s="9"/>
      <c r="Y57" s="9"/>
      <c r="Z57" s="9"/>
      <c r="AA57" s="7">
        <v>62317</v>
      </c>
      <c r="AB57" s="33"/>
      <c r="AC57" s="33"/>
      <c r="AD57" s="33"/>
      <c r="AE57" s="50">
        <v>46221</v>
      </c>
      <c r="AF57" s="44"/>
      <c r="AG57" s="45"/>
      <c r="AH57" s="36"/>
      <c r="AI57" s="36" t="s">
        <v>349</v>
      </c>
    </row>
    <row r="58" spans="1:35" x14ac:dyDescent="0.3">
      <c r="A58" s="43"/>
      <c r="B58" s="13">
        <v>46040</v>
      </c>
      <c r="C58" s="61">
        <v>10022429</v>
      </c>
      <c r="D58" s="30" t="s">
        <v>628</v>
      </c>
      <c r="E58" s="30"/>
      <c r="F58" s="15" t="s">
        <v>47</v>
      </c>
      <c r="G58" s="69">
        <v>46071</v>
      </c>
      <c r="H58" s="15" t="s">
        <v>251</v>
      </c>
      <c r="I58" s="29">
        <v>45627</v>
      </c>
      <c r="J58" s="29">
        <v>45839</v>
      </c>
      <c r="K58" s="29" t="s">
        <v>211</v>
      </c>
      <c r="L58" s="29" t="s">
        <v>187</v>
      </c>
      <c r="M58" s="29" t="s">
        <v>23</v>
      </c>
      <c r="N58" s="29" t="s">
        <v>212</v>
      </c>
      <c r="O58" s="32"/>
      <c r="P58" s="14"/>
      <c r="Q58" s="37"/>
      <c r="R58" s="38"/>
      <c r="S58" s="30"/>
      <c r="T58" s="39"/>
      <c r="U58" s="40"/>
      <c r="V58" s="39"/>
      <c r="W58" s="41"/>
      <c r="X58" s="9"/>
      <c r="Y58" s="9"/>
      <c r="Z58" s="9"/>
      <c r="AA58" s="7">
        <v>37160</v>
      </c>
      <c r="AB58" s="33"/>
      <c r="AC58" s="33"/>
      <c r="AD58" s="33"/>
      <c r="AE58" s="50">
        <v>46221</v>
      </c>
      <c r="AF58" s="44"/>
      <c r="AG58" s="45"/>
      <c r="AH58" s="36"/>
      <c r="AI58" s="36" t="s">
        <v>349</v>
      </c>
    </row>
    <row r="59" spans="1:35" x14ac:dyDescent="0.3">
      <c r="A59" s="43"/>
      <c r="B59" s="13">
        <v>46040</v>
      </c>
      <c r="C59" s="61">
        <v>10018154</v>
      </c>
      <c r="D59" s="30" t="s">
        <v>540</v>
      </c>
      <c r="E59" s="30"/>
      <c r="F59" s="15" t="s">
        <v>332</v>
      </c>
      <c r="G59" s="69">
        <v>46072</v>
      </c>
      <c r="H59" s="15" t="s">
        <v>251</v>
      </c>
      <c r="I59" s="29">
        <v>44938</v>
      </c>
      <c r="J59" s="29">
        <v>45931</v>
      </c>
      <c r="K59" s="29" t="s">
        <v>211</v>
      </c>
      <c r="L59" s="29" t="s">
        <v>91</v>
      </c>
      <c r="M59" s="29" t="s">
        <v>16</v>
      </c>
      <c r="N59" s="29" t="s">
        <v>212</v>
      </c>
      <c r="O59" s="32"/>
      <c r="P59" s="14"/>
      <c r="Q59" s="37"/>
      <c r="R59" s="38"/>
      <c r="S59" s="30"/>
      <c r="T59" s="39"/>
      <c r="U59" s="40"/>
      <c r="V59" s="39"/>
      <c r="W59" s="41"/>
      <c r="X59" s="9"/>
      <c r="Y59" s="9"/>
      <c r="Z59" s="9"/>
      <c r="AA59" s="7">
        <v>61263</v>
      </c>
      <c r="AB59" s="33"/>
      <c r="AC59" s="33"/>
      <c r="AD59" s="33"/>
      <c r="AE59" s="50">
        <v>46221</v>
      </c>
      <c r="AF59" s="44"/>
      <c r="AG59" s="45"/>
      <c r="AH59" s="36"/>
      <c r="AI59" s="36" t="s">
        <v>349</v>
      </c>
    </row>
    <row r="60" spans="1:35" x14ac:dyDescent="0.3">
      <c r="A60" s="43"/>
      <c r="B60" s="13">
        <v>46040</v>
      </c>
      <c r="C60" s="61">
        <v>10018272</v>
      </c>
      <c r="D60" s="30" t="s">
        <v>541</v>
      </c>
      <c r="E60" s="30"/>
      <c r="F60" s="15" t="s">
        <v>352</v>
      </c>
      <c r="G60" s="69">
        <v>46072</v>
      </c>
      <c r="H60" s="15" t="s">
        <v>251</v>
      </c>
      <c r="I60" s="29">
        <v>44968</v>
      </c>
      <c r="J60" s="29">
        <v>45809</v>
      </c>
      <c r="K60" s="29" t="s">
        <v>219</v>
      </c>
      <c r="L60" s="29" t="s">
        <v>167</v>
      </c>
      <c r="M60" s="29" t="s">
        <v>293</v>
      </c>
      <c r="N60" s="29" t="s">
        <v>214</v>
      </c>
      <c r="O60" s="32">
        <v>45658</v>
      </c>
      <c r="P60" s="14"/>
      <c r="Q60" s="37"/>
      <c r="R60" s="38"/>
      <c r="S60" s="30"/>
      <c r="T60" s="39"/>
      <c r="U60" s="40"/>
      <c r="V60" s="39"/>
      <c r="W60" s="41"/>
      <c r="X60" s="9"/>
      <c r="Y60" s="9"/>
      <c r="Z60" s="9"/>
      <c r="AA60" s="7">
        <v>63555</v>
      </c>
      <c r="AB60" s="33"/>
      <c r="AC60" s="33"/>
      <c r="AD60" s="33"/>
      <c r="AE60" s="50">
        <v>46221</v>
      </c>
      <c r="AF60" s="44"/>
      <c r="AG60" s="45"/>
      <c r="AH60" s="36"/>
      <c r="AI60" s="36" t="s">
        <v>349</v>
      </c>
    </row>
    <row r="61" spans="1:35" x14ac:dyDescent="0.3">
      <c r="A61" s="43"/>
      <c r="B61" s="13">
        <v>46040</v>
      </c>
      <c r="C61" s="61">
        <v>10018338</v>
      </c>
      <c r="D61" s="30" t="s">
        <v>542</v>
      </c>
      <c r="E61" s="30"/>
      <c r="F61" s="15" t="s">
        <v>41</v>
      </c>
      <c r="G61" s="69">
        <v>46072</v>
      </c>
      <c r="H61" s="15" t="s">
        <v>251</v>
      </c>
      <c r="I61" s="29">
        <v>44969</v>
      </c>
      <c r="J61" s="29">
        <v>45535</v>
      </c>
      <c r="K61" s="29" t="s">
        <v>219</v>
      </c>
      <c r="L61" s="29" t="s">
        <v>97</v>
      </c>
      <c r="M61" s="29" t="s">
        <v>23</v>
      </c>
      <c r="N61" s="29" t="s">
        <v>214</v>
      </c>
      <c r="O61" s="32"/>
      <c r="P61" s="14"/>
      <c r="Q61" s="37"/>
      <c r="R61" s="38"/>
      <c r="S61" s="30"/>
      <c r="T61" s="39"/>
      <c r="U61" s="40"/>
      <c r="V61" s="39"/>
      <c r="W61" s="41"/>
      <c r="X61" s="9"/>
      <c r="Y61" s="9"/>
      <c r="Z61" s="9"/>
      <c r="AA61" s="7">
        <v>50096</v>
      </c>
      <c r="AB61" s="33"/>
      <c r="AC61" s="33"/>
      <c r="AD61" s="33"/>
      <c r="AE61" s="50">
        <v>46221</v>
      </c>
      <c r="AF61" s="44"/>
      <c r="AG61" s="45"/>
      <c r="AH61" s="36"/>
      <c r="AI61" s="36" t="s">
        <v>349</v>
      </c>
    </row>
    <row r="62" spans="1:35" x14ac:dyDescent="0.3">
      <c r="A62" s="43"/>
      <c r="B62" s="13">
        <v>46040</v>
      </c>
      <c r="C62" s="61">
        <v>10018923</v>
      </c>
      <c r="D62" s="30" t="s">
        <v>551</v>
      </c>
      <c r="E62" s="30"/>
      <c r="F62" s="15" t="s">
        <v>49</v>
      </c>
      <c r="G62" s="69">
        <v>46072</v>
      </c>
      <c r="H62" s="15" t="s">
        <v>251</v>
      </c>
      <c r="I62" s="29">
        <v>45078</v>
      </c>
      <c r="J62" s="29">
        <v>45748</v>
      </c>
      <c r="K62" s="29" t="s">
        <v>219</v>
      </c>
      <c r="L62" s="29" t="s">
        <v>110</v>
      </c>
      <c r="M62" s="29" t="s">
        <v>23</v>
      </c>
      <c r="N62" s="29" t="s">
        <v>214</v>
      </c>
      <c r="O62" s="32"/>
      <c r="P62" s="14"/>
      <c r="Q62" s="37"/>
      <c r="R62" s="38"/>
      <c r="S62" s="30"/>
      <c r="T62" s="39"/>
      <c r="U62" s="40"/>
      <c r="V62" s="39"/>
      <c r="W62" s="41"/>
      <c r="X62" s="9"/>
      <c r="Y62" s="9"/>
      <c r="Z62" s="9"/>
      <c r="AA62" s="7">
        <v>41356</v>
      </c>
      <c r="AB62" s="33"/>
      <c r="AC62" s="33"/>
      <c r="AD62" s="33"/>
      <c r="AE62" s="50">
        <v>46221</v>
      </c>
      <c r="AF62" s="44"/>
      <c r="AG62" s="45"/>
      <c r="AH62" s="36"/>
      <c r="AI62" s="36" t="s">
        <v>349</v>
      </c>
    </row>
    <row r="63" spans="1:35" x14ac:dyDescent="0.3">
      <c r="A63" s="43"/>
      <c r="B63" s="13">
        <v>46040</v>
      </c>
      <c r="C63" s="61">
        <v>10019755</v>
      </c>
      <c r="D63" s="30" t="s">
        <v>566</v>
      </c>
      <c r="E63" s="30"/>
      <c r="F63" s="15" t="s">
        <v>433</v>
      </c>
      <c r="G63" s="69">
        <v>46072</v>
      </c>
      <c r="H63" s="15" t="s">
        <v>251</v>
      </c>
      <c r="I63" s="29">
        <v>45216</v>
      </c>
      <c r="J63" s="29">
        <v>45293</v>
      </c>
      <c r="K63" s="29" t="s">
        <v>211</v>
      </c>
      <c r="L63" s="29" t="s">
        <v>132</v>
      </c>
      <c r="M63" s="29" t="s">
        <v>23</v>
      </c>
      <c r="N63" s="29" t="s">
        <v>212</v>
      </c>
      <c r="O63" s="32"/>
      <c r="P63" s="14"/>
      <c r="Q63" s="37"/>
      <c r="R63" s="38"/>
      <c r="S63" s="30"/>
      <c r="T63" s="39"/>
      <c r="U63" s="40"/>
      <c r="V63" s="39"/>
      <c r="W63" s="41"/>
      <c r="X63" s="9"/>
      <c r="Y63" s="9"/>
      <c r="Z63" s="9"/>
      <c r="AA63" s="7">
        <v>8533</v>
      </c>
      <c r="AB63" s="33"/>
      <c r="AC63" s="33"/>
      <c r="AD63" s="33"/>
      <c r="AE63" s="50">
        <v>46221</v>
      </c>
      <c r="AF63" s="44"/>
      <c r="AG63" s="45"/>
      <c r="AH63" s="36"/>
      <c r="AI63" s="36" t="s">
        <v>349</v>
      </c>
    </row>
    <row r="64" spans="1:35" x14ac:dyDescent="0.3">
      <c r="A64" s="43"/>
      <c r="B64" s="13">
        <v>46040</v>
      </c>
      <c r="C64" s="61">
        <v>4981</v>
      </c>
      <c r="D64" s="30" t="s">
        <v>492</v>
      </c>
      <c r="E64" s="30"/>
      <c r="F64" s="15" t="s">
        <v>367</v>
      </c>
      <c r="G64" s="69">
        <v>46075</v>
      </c>
      <c r="H64" s="15" t="s">
        <v>251</v>
      </c>
      <c r="I64" s="29">
        <v>41198</v>
      </c>
      <c r="J64" s="29">
        <v>45810</v>
      </c>
      <c r="K64" s="29" t="s">
        <v>215</v>
      </c>
      <c r="L64" s="29" t="s">
        <v>101</v>
      </c>
      <c r="M64" s="29" t="s">
        <v>23</v>
      </c>
      <c r="N64" s="29" t="s">
        <v>223</v>
      </c>
      <c r="O64" s="32">
        <v>45292</v>
      </c>
      <c r="P64" s="14"/>
      <c r="Q64" s="37"/>
      <c r="R64" s="38"/>
      <c r="S64" s="30"/>
      <c r="T64" s="39"/>
      <c r="U64" s="40"/>
      <c r="V64" s="39"/>
      <c r="W64" s="41"/>
      <c r="X64" s="9"/>
      <c r="Y64" s="9"/>
      <c r="Z64" s="9"/>
      <c r="AA64" s="7">
        <v>1079041</v>
      </c>
      <c r="AB64" s="33"/>
      <c r="AC64" s="33"/>
      <c r="AD64" s="33"/>
      <c r="AE64" s="50">
        <v>46221</v>
      </c>
      <c r="AF64" s="44"/>
      <c r="AG64" s="45"/>
      <c r="AH64" s="36"/>
      <c r="AI64" s="36" t="s">
        <v>349</v>
      </c>
    </row>
    <row r="65" spans="1:35" x14ac:dyDescent="0.3">
      <c r="A65" s="43"/>
      <c r="B65" s="13">
        <v>46040</v>
      </c>
      <c r="C65" s="61">
        <v>5958</v>
      </c>
      <c r="D65" s="30" t="s">
        <v>494</v>
      </c>
      <c r="E65" s="30"/>
      <c r="F65" s="15" t="s">
        <v>495</v>
      </c>
      <c r="G65" s="69">
        <v>46075</v>
      </c>
      <c r="H65" s="15" t="s">
        <v>251</v>
      </c>
      <c r="I65" s="29">
        <v>41700</v>
      </c>
      <c r="J65" s="29">
        <v>45754</v>
      </c>
      <c r="K65" s="29" t="s">
        <v>215</v>
      </c>
      <c r="L65" s="29" t="s">
        <v>175</v>
      </c>
      <c r="M65" s="29" t="s">
        <v>22</v>
      </c>
      <c r="N65" s="29" t="s">
        <v>223</v>
      </c>
      <c r="O65" s="32"/>
      <c r="P65" s="14"/>
      <c r="Q65" s="37"/>
      <c r="R65" s="38"/>
      <c r="S65" s="30"/>
      <c r="T65" s="39"/>
      <c r="U65" s="40"/>
      <c r="V65" s="39"/>
      <c r="W65" s="41"/>
      <c r="X65" s="9"/>
      <c r="Y65" s="9"/>
      <c r="Z65" s="9"/>
      <c r="AA65" s="7">
        <v>1012050</v>
      </c>
      <c r="AB65" s="33"/>
      <c r="AC65" s="33"/>
      <c r="AD65" s="33"/>
      <c r="AE65" s="50">
        <v>46221</v>
      </c>
      <c r="AF65" s="44"/>
      <c r="AG65" s="45"/>
      <c r="AH65" s="36"/>
      <c r="AI65" s="36" t="s">
        <v>349</v>
      </c>
    </row>
    <row r="66" spans="1:35" x14ac:dyDescent="0.3">
      <c r="A66" s="43"/>
      <c r="B66" s="13">
        <v>46040</v>
      </c>
      <c r="C66" s="61">
        <v>15811</v>
      </c>
      <c r="D66" s="30" t="s">
        <v>695</v>
      </c>
      <c r="E66" s="30"/>
      <c r="F66" s="15" t="s">
        <v>451</v>
      </c>
      <c r="G66" s="69">
        <v>46075</v>
      </c>
      <c r="H66" s="15" t="s">
        <v>251</v>
      </c>
      <c r="I66" s="29">
        <v>44437</v>
      </c>
      <c r="J66" s="29">
        <v>45536</v>
      </c>
      <c r="K66" s="29" t="s">
        <v>213</v>
      </c>
      <c r="L66" s="29" t="s">
        <v>108</v>
      </c>
      <c r="M66" s="29" t="s">
        <v>17</v>
      </c>
      <c r="N66" s="29" t="s">
        <v>214</v>
      </c>
      <c r="O66" s="32">
        <v>45292</v>
      </c>
      <c r="P66" s="14"/>
      <c r="Q66" s="37"/>
      <c r="R66" s="38"/>
      <c r="S66" s="30"/>
      <c r="T66" s="39"/>
      <c r="U66" s="40"/>
      <c r="V66" s="39"/>
      <c r="W66" s="41"/>
      <c r="X66" s="9"/>
      <c r="Y66" s="9"/>
      <c r="Z66" s="9"/>
      <c r="AA66" s="7">
        <v>107295</v>
      </c>
      <c r="AB66" s="33"/>
      <c r="AC66" s="33"/>
      <c r="AD66" s="33"/>
      <c r="AE66" s="50">
        <v>46221</v>
      </c>
      <c r="AF66" s="44"/>
      <c r="AG66" s="45"/>
      <c r="AH66" s="36"/>
      <c r="AI66" s="36" t="s">
        <v>349</v>
      </c>
    </row>
    <row r="67" spans="1:35" x14ac:dyDescent="0.3">
      <c r="A67" s="43"/>
      <c r="B67" s="13">
        <v>46040</v>
      </c>
      <c r="C67" s="61">
        <v>10016667</v>
      </c>
      <c r="D67" s="30" t="s">
        <v>524</v>
      </c>
      <c r="E67" s="30"/>
      <c r="F67" s="15" t="s">
        <v>83</v>
      </c>
      <c r="G67" s="69">
        <v>46075</v>
      </c>
      <c r="H67" s="15" t="s">
        <v>251</v>
      </c>
      <c r="I67" s="29">
        <v>44641</v>
      </c>
      <c r="J67" s="29">
        <v>45444</v>
      </c>
      <c r="K67" s="29" t="s">
        <v>213</v>
      </c>
      <c r="L67" s="29" t="s">
        <v>95</v>
      </c>
      <c r="M67" s="29" t="s">
        <v>23</v>
      </c>
      <c r="N67" s="29" t="s">
        <v>214</v>
      </c>
      <c r="O67" s="32">
        <v>45292</v>
      </c>
      <c r="P67" s="14"/>
      <c r="Q67" s="37"/>
      <c r="R67" s="38"/>
      <c r="S67" s="30"/>
      <c r="T67" s="39"/>
      <c r="U67" s="40"/>
      <c r="V67" s="39"/>
      <c r="W67" s="41"/>
      <c r="X67" s="9"/>
      <c r="Y67" s="9"/>
      <c r="Z67" s="9"/>
      <c r="AA67" s="7">
        <v>23245</v>
      </c>
      <c r="AB67" s="33"/>
      <c r="AC67" s="33"/>
      <c r="AD67" s="33"/>
      <c r="AE67" s="50">
        <v>46221</v>
      </c>
      <c r="AF67" s="44"/>
      <c r="AG67" s="45"/>
      <c r="AH67" s="36"/>
      <c r="AI67" s="36" t="s">
        <v>349</v>
      </c>
    </row>
    <row r="68" spans="1:35" x14ac:dyDescent="0.3">
      <c r="A68" s="43"/>
      <c r="B68" s="13">
        <v>46040</v>
      </c>
      <c r="C68" s="61">
        <v>10018673</v>
      </c>
      <c r="D68" s="30" t="s">
        <v>547</v>
      </c>
      <c r="E68" s="30"/>
      <c r="F68" s="15" t="s">
        <v>448</v>
      </c>
      <c r="G68" s="69">
        <v>46075</v>
      </c>
      <c r="H68" s="15" t="s">
        <v>251</v>
      </c>
      <c r="I68" s="29">
        <v>45043</v>
      </c>
      <c r="J68" s="29">
        <v>45645</v>
      </c>
      <c r="K68" s="29" t="s">
        <v>211</v>
      </c>
      <c r="L68" s="29" t="s">
        <v>139</v>
      </c>
      <c r="M68" s="29" t="s">
        <v>23</v>
      </c>
      <c r="N68" s="29" t="s">
        <v>212</v>
      </c>
      <c r="O68" s="32"/>
      <c r="P68" s="14"/>
      <c r="Q68" s="37"/>
      <c r="R68" s="38"/>
      <c r="S68" s="30"/>
      <c r="T68" s="39"/>
      <c r="U68" s="40"/>
      <c r="V68" s="39"/>
      <c r="W68" s="41"/>
      <c r="X68" s="9"/>
      <c r="Y68" s="9"/>
      <c r="Z68" s="9"/>
      <c r="AA68" s="7">
        <v>86273</v>
      </c>
      <c r="AB68" s="33"/>
      <c r="AC68" s="33"/>
      <c r="AD68" s="33"/>
      <c r="AE68" s="50">
        <v>46221</v>
      </c>
      <c r="AF68" s="44"/>
      <c r="AG68" s="45"/>
      <c r="AH68" s="36"/>
      <c r="AI68" s="36" t="s">
        <v>349</v>
      </c>
    </row>
    <row r="69" spans="1:35" x14ac:dyDescent="0.3">
      <c r="A69" s="43"/>
      <c r="B69" s="13">
        <v>46040</v>
      </c>
      <c r="C69" s="61">
        <v>10018846</v>
      </c>
      <c r="D69" s="30" t="s">
        <v>549</v>
      </c>
      <c r="E69" s="30"/>
      <c r="F69" s="15" t="s">
        <v>391</v>
      </c>
      <c r="G69" s="69">
        <v>46075</v>
      </c>
      <c r="H69" s="15" t="s">
        <v>251</v>
      </c>
      <c r="I69" s="29">
        <v>45054</v>
      </c>
      <c r="J69" s="29">
        <v>45809</v>
      </c>
      <c r="K69" s="29" t="s">
        <v>219</v>
      </c>
      <c r="L69" s="29" t="s">
        <v>97</v>
      </c>
      <c r="M69" s="29" t="s">
        <v>23</v>
      </c>
      <c r="N69" s="29" t="s">
        <v>214</v>
      </c>
      <c r="O69" s="32"/>
      <c r="P69" s="14"/>
      <c r="Q69" s="37"/>
      <c r="R69" s="38"/>
      <c r="S69" s="30"/>
      <c r="T69" s="39"/>
      <c r="U69" s="40"/>
      <c r="V69" s="39"/>
      <c r="W69" s="41"/>
      <c r="X69" s="9"/>
      <c r="Y69" s="9"/>
      <c r="Z69" s="9"/>
      <c r="AA69" s="7">
        <v>37316</v>
      </c>
      <c r="AB69" s="33"/>
      <c r="AC69" s="33"/>
      <c r="AD69" s="33"/>
      <c r="AE69" s="50">
        <v>46221</v>
      </c>
      <c r="AF69" s="44"/>
      <c r="AG69" s="45"/>
      <c r="AH69" s="36"/>
      <c r="AI69" s="36" t="s">
        <v>349</v>
      </c>
    </row>
    <row r="70" spans="1:35" x14ac:dyDescent="0.3">
      <c r="A70" s="43"/>
      <c r="B70" s="13">
        <v>46040</v>
      </c>
      <c r="C70" s="61">
        <v>10018987</v>
      </c>
      <c r="D70" s="30" t="s">
        <v>552</v>
      </c>
      <c r="E70" s="30"/>
      <c r="F70" s="15" t="s">
        <v>45</v>
      </c>
      <c r="G70" s="69">
        <v>46075</v>
      </c>
      <c r="H70" s="15" t="s">
        <v>251</v>
      </c>
      <c r="I70" s="29">
        <v>45089</v>
      </c>
      <c r="J70" s="29">
        <v>45755</v>
      </c>
      <c r="K70" s="29" t="s">
        <v>211</v>
      </c>
      <c r="L70" s="29" t="s">
        <v>160</v>
      </c>
      <c r="M70" s="29" t="s">
        <v>24</v>
      </c>
      <c r="N70" s="29" t="s">
        <v>212</v>
      </c>
      <c r="O70" s="32"/>
      <c r="P70" s="14"/>
      <c r="Q70" s="37"/>
      <c r="R70" s="38"/>
      <c r="S70" s="30"/>
      <c r="T70" s="39"/>
      <c r="U70" s="40"/>
      <c r="V70" s="39"/>
      <c r="W70" s="41"/>
      <c r="X70" s="9"/>
      <c r="Y70" s="9"/>
      <c r="Z70" s="9"/>
      <c r="AA70" s="7">
        <v>58721</v>
      </c>
      <c r="AB70" s="33"/>
      <c r="AC70" s="33"/>
      <c r="AD70" s="33"/>
      <c r="AE70" s="50">
        <v>46221</v>
      </c>
      <c r="AF70" s="44"/>
      <c r="AG70" s="45"/>
      <c r="AH70" s="36"/>
      <c r="AI70" s="36" t="s">
        <v>349</v>
      </c>
    </row>
    <row r="71" spans="1:35" x14ac:dyDescent="0.3">
      <c r="A71" s="43"/>
      <c r="B71" s="13">
        <v>46040</v>
      </c>
      <c r="C71" s="61">
        <v>10019015</v>
      </c>
      <c r="D71" s="30" t="s">
        <v>703</v>
      </c>
      <c r="E71" s="30"/>
      <c r="F71" s="15" t="s">
        <v>386</v>
      </c>
      <c r="G71" s="69">
        <v>46075</v>
      </c>
      <c r="H71" s="15" t="s">
        <v>251</v>
      </c>
      <c r="I71" s="29">
        <v>45092</v>
      </c>
      <c r="J71" s="29">
        <v>45720</v>
      </c>
      <c r="K71" s="29" t="s">
        <v>211</v>
      </c>
      <c r="L71" s="29" t="s">
        <v>119</v>
      </c>
      <c r="M71" s="29" t="s">
        <v>23</v>
      </c>
      <c r="N71" s="29" t="s">
        <v>212</v>
      </c>
      <c r="O71" s="32"/>
      <c r="P71" s="14"/>
      <c r="Q71" s="37"/>
      <c r="R71" s="38"/>
      <c r="S71" s="30"/>
      <c r="T71" s="39"/>
      <c r="U71" s="40"/>
      <c r="V71" s="39"/>
      <c r="W71" s="41"/>
      <c r="X71" s="9"/>
      <c r="Y71" s="9"/>
      <c r="Z71" s="9"/>
      <c r="AA71" s="7">
        <v>35983</v>
      </c>
      <c r="AB71" s="33"/>
      <c r="AC71" s="33"/>
      <c r="AD71" s="33"/>
      <c r="AE71" s="50">
        <v>46221</v>
      </c>
      <c r="AF71" s="44"/>
      <c r="AG71" s="45"/>
      <c r="AH71" s="36"/>
      <c r="AI71" s="36" t="s">
        <v>349</v>
      </c>
    </row>
    <row r="72" spans="1:35" x14ac:dyDescent="0.3">
      <c r="A72" s="43"/>
      <c r="B72" s="13">
        <v>46040</v>
      </c>
      <c r="C72" s="61">
        <v>10019019</v>
      </c>
      <c r="D72" s="30" t="s">
        <v>553</v>
      </c>
      <c r="E72" s="30"/>
      <c r="F72" s="15" t="s">
        <v>462</v>
      </c>
      <c r="G72" s="69">
        <v>46075</v>
      </c>
      <c r="H72" s="15" t="s">
        <v>251</v>
      </c>
      <c r="I72" s="29">
        <v>45087</v>
      </c>
      <c r="J72" s="29">
        <v>45871</v>
      </c>
      <c r="K72" s="29" t="s">
        <v>211</v>
      </c>
      <c r="L72" s="29" t="s">
        <v>343</v>
      </c>
      <c r="M72" s="29" t="s">
        <v>25</v>
      </c>
      <c r="N72" s="29" t="s">
        <v>212</v>
      </c>
      <c r="O72" s="32"/>
      <c r="P72" s="14"/>
      <c r="Q72" s="37"/>
      <c r="R72" s="38"/>
      <c r="S72" s="30"/>
      <c r="T72" s="39"/>
      <c r="U72" s="40"/>
      <c r="V72" s="39"/>
      <c r="W72" s="41"/>
      <c r="X72" s="9"/>
      <c r="Y72" s="9"/>
      <c r="Z72" s="9"/>
      <c r="AA72" s="7">
        <v>47473</v>
      </c>
      <c r="AB72" s="33"/>
      <c r="AC72" s="33"/>
      <c r="AD72" s="33"/>
      <c r="AE72" s="50">
        <v>46221</v>
      </c>
      <c r="AF72" s="44"/>
      <c r="AG72" s="45"/>
      <c r="AH72" s="36"/>
      <c r="AI72" s="36" t="s">
        <v>349</v>
      </c>
    </row>
    <row r="73" spans="1:35" x14ac:dyDescent="0.3">
      <c r="A73" s="43"/>
      <c r="B73" s="13">
        <v>46040</v>
      </c>
      <c r="C73" s="61">
        <v>10019163</v>
      </c>
      <c r="D73" s="30" t="s">
        <v>557</v>
      </c>
      <c r="E73" s="30"/>
      <c r="F73" s="15" t="s">
        <v>463</v>
      </c>
      <c r="G73" s="69">
        <v>46075</v>
      </c>
      <c r="H73" s="15" t="s">
        <v>251</v>
      </c>
      <c r="I73" s="29">
        <v>45109</v>
      </c>
      <c r="J73" s="29">
        <v>45566</v>
      </c>
      <c r="K73" s="29" t="s">
        <v>211</v>
      </c>
      <c r="L73" s="29" t="s">
        <v>109</v>
      </c>
      <c r="M73" s="29" t="s">
        <v>23</v>
      </c>
      <c r="N73" s="29" t="s">
        <v>212</v>
      </c>
      <c r="O73" s="32"/>
      <c r="P73" s="14"/>
      <c r="Q73" s="37"/>
      <c r="R73" s="38"/>
      <c r="S73" s="30"/>
      <c r="T73" s="39"/>
      <c r="U73" s="40"/>
      <c r="V73" s="39"/>
      <c r="W73" s="41"/>
      <c r="X73" s="9"/>
      <c r="Y73" s="9"/>
      <c r="Z73" s="9"/>
      <c r="AA73" s="7">
        <v>34886</v>
      </c>
      <c r="AB73" s="33"/>
      <c r="AC73" s="33"/>
      <c r="AD73" s="33"/>
      <c r="AE73" s="50">
        <v>46221</v>
      </c>
      <c r="AF73" s="44"/>
      <c r="AG73" s="45"/>
      <c r="AH73" s="36"/>
      <c r="AI73" s="36" t="s">
        <v>349</v>
      </c>
    </row>
    <row r="74" spans="1:35" x14ac:dyDescent="0.3">
      <c r="A74" s="43"/>
      <c r="B74" s="13">
        <v>46040</v>
      </c>
      <c r="C74" s="61">
        <v>10019191</v>
      </c>
      <c r="D74" s="30" t="s">
        <v>558</v>
      </c>
      <c r="E74" s="30"/>
      <c r="F74" s="15" t="s">
        <v>324</v>
      </c>
      <c r="G74" s="69">
        <v>46075</v>
      </c>
      <c r="H74" s="15" t="s">
        <v>251</v>
      </c>
      <c r="I74" s="29">
        <v>45111</v>
      </c>
      <c r="J74" s="29">
        <v>45870</v>
      </c>
      <c r="K74" s="29" t="s">
        <v>219</v>
      </c>
      <c r="L74" s="29" t="s">
        <v>143</v>
      </c>
      <c r="M74" s="29" t="s">
        <v>23</v>
      </c>
      <c r="N74" s="29" t="s">
        <v>214</v>
      </c>
      <c r="O74" s="32"/>
      <c r="P74" s="14"/>
      <c r="Q74" s="37"/>
      <c r="R74" s="38"/>
      <c r="S74" s="30"/>
      <c r="T74" s="39"/>
      <c r="U74" s="40"/>
      <c r="V74" s="39"/>
      <c r="W74" s="41"/>
      <c r="X74" s="9"/>
      <c r="Y74" s="9"/>
      <c r="Z74" s="9"/>
      <c r="AA74" s="7">
        <v>58774</v>
      </c>
      <c r="AB74" s="33"/>
      <c r="AC74" s="33"/>
      <c r="AD74" s="33"/>
      <c r="AE74" s="50">
        <v>46221</v>
      </c>
      <c r="AF74" s="44"/>
      <c r="AG74" s="45"/>
      <c r="AH74" s="36"/>
      <c r="AI74" s="36" t="s">
        <v>349</v>
      </c>
    </row>
    <row r="75" spans="1:35" x14ac:dyDescent="0.3">
      <c r="A75" s="43"/>
      <c r="B75" s="13">
        <v>46040</v>
      </c>
      <c r="C75" s="61">
        <v>10019329</v>
      </c>
      <c r="D75" s="30" t="s">
        <v>560</v>
      </c>
      <c r="E75" s="30"/>
      <c r="F75" s="15" t="s">
        <v>475</v>
      </c>
      <c r="G75" s="69">
        <v>46075</v>
      </c>
      <c r="H75" s="15" t="s">
        <v>251</v>
      </c>
      <c r="I75" s="29">
        <v>45092</v>
      </c>
      <c r="J75" s="29">
        <v>45599</v>
      </c>
      <c r="K75" s="29" t="s">
        <v>219</v>
      </c>
      <c r="L75" s="29" t="s">
        <v>135</v>
      </c>
      <c r="M75" s="29" t="s">
        <v>16</v>
      </c>
      <c r="N75" s="29" t="s">
        <v>214</v>
      </c>
      <c r="O75" s="32"/>
      <c r="P75" s="14"/>
      <c r="Q75" s="37"/>
      <c r="R75" s="38"/>
      <c r="S75" s="30"/>
      <c r="T75" s="39"/>
      <c r="U75" s="40"/>
      <c r="V75" s="39"/>
      <c r="W75" s="41"/>
      <c r="X75" s="9"/>
      <c r="Y75" s="9"/>
      <c r="Z75" s="9"/>
      <c r="AA75" s="7">
        <v>13913</v>
      </c>
      <c r="AB75" s="33"/>
      <c r="AC75" s="33"/>
      <c r="AD75" s="33"/>
      <c r="AE75" s="50">
        <v>46221</v>
      </c>
      <c r="AF75" s="44"/>
      <c r="AG75" s="45"/>
      <c r="AH75" s="36"/>
      <c r="AI75" s="36" t="s">
        <v>349</v>
      </c>
    </row>
    <row r="76" spans="1:35" x14ac:dyDescent="0.3">
      <c r="A76" s="43"/>
      <c r="B76" s="13">
        <v>46040</v>
      </c>
      <c r="C76" s="61">
        <v>10019336</v>
      </c>
      <c r="D76" s="30" t="s">
        <v>561</v>
      </c>
      <c r="E76" s="30"/>
      <c r="F76" s="15" t="s">
        <v>476</v>
      </c>
      <c r="G76" s="69">
        <v>46075</v>
      </c>
      <c r="H76" s="15" t="s">
        <v>251</v>
      </c>
      <c r="I76" s="29">
        <v>45139</v>
      </c>
      <c r="J76" s="29">
        <v>45629</v>
      </c>
      <c r="K76" s="29" t="s">
        <v>211</v>
      </c>
      <c r="L76" s="29" t="s">
        <v>101</v>
      </c>
      <c r="M76" s="29" t="s">
        <v>23</v>
      </c>
      <c r="N76" s="29" t="s">
        <v>212</v>
      </c>
      <c r="O76" s="32"/>
      <c r="P76" s="14"/>
      <c r="Q76" s="37"/>
      <c r="R76" s="38"/>
      <c r="S76" s="30"/>
      <c r="T76" s="39"/>
      <c r="U76" s="40"/>
      <c r="V76" s="39"/>
      <c r="W76" s="41"/>
      <c r="X76" s="9"/>
      <c r="Y76" s="9"/>
      <c r="Z76" s="9"/>
      <c r="AA76" s="7">
        <v>11043</v>
      </c>
      <c r="AB76" s="33"/>
      <c r="AC76" s="33"/>
      <c r="AD76" s="33"/>
      <c r="AE76" s="50">
        <v>46221</v>
      </c>
      <c r="AF76" s="44"/>
      <c r="AG76" s="45"/>
      <c r="AH76" s="36"/>
      <c r="AI76" s="36" t="s">
        <v>349</v>
      </c>
    </row>
    <row r="77" spans="1:35" x14ac:dyDescent="0.3">
      <c r="A77" s="43"/>
      <c r="B77" s="13">
        <v>46040</v>
      </c>
      <c r="C77" s="61">
        <v>10019515</v>
      </c>
      <c r="D77" s="30" t="s">
        <v>563</v>
      </c>
      <c r="E77" s="30"/>
      <c r="F77" s="15" t="s">
        <v>395</v>
      </c>
      <c r="G77" s="69">
        <v>46075</v>
      </c>
      <c r="H77" s="15" t="s">
        <v>251</v>
      </c>
      <c r="I77" s="29">
        <v>45179</v>
      </c>
      <c r="J77" s="29">
        <v>45658</v>
      </c>
      <c r="K77" s="29" t="s">
        <v>211</v>
      </c>
      <c r="L77" s="29" t="s">
        <v>102</v>
      </c>
      <c r="M77" s="29" t="s">
        <v>24</v>
      </c>
      <c r="N77" s="29" t="s">
        <v>212</v>
      </c>
      <c r="O77" s="32"/>
      <c r="P77" s="14"/>
      <c r="Q77" s="37"/>
      <c r="R77" s="38"/>
      <c r="S77" s="30"/>
      <c r="T77" s="39"/>
      <c r="U77" s="40"/>
      <c r="V77" s="39"/>
      <c r="W77" s="41"/>
      <c r="X77" s="9"/>
      <c r="Y77" s="9"/>
      <c r="Z77" s="9"/>
      <c r="AA77" s="7">
        <v>31857</v>
      </c>
      <c r="AB77" s="33"/>
      <c r="AC77" s="33"/>
      <c r="AD77" s="33"/>
      <c r="AE77" s="50">
        <v>46221</v>
      </c>
      <c r="AF77" s="44"/>
      <c r="AG77" s="45"/>
      <c r="AH77" s="36"/>
      <c r="AI77" s="36" t="s">
        <v>349</v>
      </c>
    </row>
    <row r="78" spans="1:35" x14ac:dyDescent="0.3">
      <c r="A78" s="43"/>
      <c r="B78" s="13">
        <v>46040</v>
      </c>
      <c r="C78" s="61">
        <v>10021750</v>
      </c>
      <c r="D78" s="30" t="s">
        <v>609</v>
      </c>
      <c r="E78" s="30"/>
      <c r="F78" s="15" t="s">
        <v>468</v>
      </c>
      <c r="G78" s="69">
        <v>46075</v>
      </c>
      <c r="H78" s="15" t="s">
        <v>251</v>
      </c>
      <c r="I78" s="29">
        <v>45537</v>
      </c>
      <c r="J78" s="29">
        <v>45627</v>
      </c>
      <c r="K78" s="29" t="s">
        <v>211</v>
      </c>
      <c r="L78" s="29" t="s">
        <v>185</v>
      </c>
      <c r="M78" s="29" t="s">
        <v>24</v>
      </c>
      <c r="N78" s="29" t="s">
        <v>212</v>
      </c>
      <c r="O78" s="32"/>
      <c r="P78" s="14"/>
      <c r="Q78" s="37"/>
      <c r="R78" s="38"/>
      <c r="S78" s="30"/>
      <c r="T78" s="39"/>
      <c r="U78" s="40"/>
      <c r="V78" s="39"/>
      <c r="W78" s="41"/>
      <c r="X78" s="9"/>
      <c r="Y78" s="9"/>
      <c r="Z78" s="9"/>
      <c r="AA78" s="7">
        <v>11135</v>
      </c>
      <c r="AB78" s="33"/>
      <c r="AC78" s="33"/>
      <c r="AD78" s="33"/>
      <c r="AE78" s="50">
        <v>46221</v>
      </c>
      <c r="AF78" s="44"/>
      <c r="AG78" s="45"/>
      <c r="AH78" s="36"/>
      <c r="AI78" s="36" t="s">
        <v>349</v>
      </c>
    </row>
    <row r="79" spans="1:35" x14ac:dyDescent="0.3">
      <c r="A79" s="43"/>
      <c r="B79" s="13">
        <v>46040</v>
      </c>
      <c r="C79" s="61">
        <v>10021798</v>
      </c>
      <c r="D79" s="30" t="s">
        <v>612</v>
      </c>
      <c r="E79" s="30"/>
      <c r="F79" s="15" t="s">
        <v>487</v>
      </c>
      <c r="G79" s="69">
        <v>46075</v>
      </c>
      <c r="H79" s="15" t="s">
        <v>251</v>
      </c>
      <c r="I79" s="29">
        <v>45532</v>
      </c>
      <c r="J79" s="29">
        <v>45839</v>
      </c>
      <c r="K79" s="29" t="s">
        <v>219</v>
      </c>
      <c r="L79" s="29" t="s">
        <v>613</v>
      </c>
      <c r="M79" s="29" t="s">
        <v>24</v>
      </c>
      <c r="N79" s="29" t="s">
        <v>214</v>
      </c>
      <c r="O79" s="32"/>
      <c r="P79" s="14"/>
      <c r="Q79" s="37"/>
      <c r="R79" s="38"/>
      <c r="S79" s="30"/>
      <c r="T79" s="39"/>
      <c r="U79" s="40"/>
      <c r="V79" s="39"/>
      <c r="W79" s="41"/>
      <c r="X79" s="9"/>
      <c r="Y79" s="9"/>
      <c r="Z79" s="9"/>
      <c r="AA79" s="7">
        <v>3403</v>
      </c>
      <c r="AB79" s="33"/>
      <c r="AC79" s="33"/>
      <c r="AD79" s="33"/>
      <c r="AE79" s="50">
        <v>46221</v>
      </c>
      <c r="AF79" s="44"/>
      <c r="AG79" s="45"/>
      <c r="AH79" s="36"/>
      <c r="AI79" s="36" t="s">
        <v>349</v>
      </c>
    </row>
    <row r="80" spans="1:35" x14ac:dyDescent="0.3">
      <c r="A80" s="43"/>
      <c r="B80" s="13">
        <v>46040</v>
      </c>
      <c r="C80" s="61">
        <v>9059</v>
      </c>
      <c r="D80" s="30" t="s">
        <v>503</v>
      </c>
      <c r="E80" s="30"/>
      <c r="F80" s="15" t="s">
        <v>486</v>
      </c>
      <c r="G80" s="69">
        <v>46076</v>
      </c>
      <c r="H80" s="15" t="s">
        <v>251</v>
      </c>
      <c r="I80" s="29">
        <v>42705</v>
      </c>
      <c r="J80" s="29">
        <v>45474</v>
      </c>
      <c r="K80" s="29" t="s">
        <v>222</v>
      </c>
      <c r="L80" s="29" t="s">
        <v>134</v>
      </c>
      <c r="M80" s="29" t="s">
        <v>22</v>
      </c>
      <c r="N80" s="29" t="s">
        <v>214</v>
      </c>
      <c r="O80" s="32">
        <v>44927</v>
      </c>
      <c r="P80" s="14"/>
      <c r="Q80" s="37"/>
      <c r="R80" s="38"/>
      <c r="S80" s="30"/>
      <c r="T80" s="39"/>
      <c r="U80" s="40"/>
      <c r="V80" s="39"/>
      <c r="W80" s="41"/>
      <c r="X80" s="9"/>
      <c r="Y80" s="9"/>
      <c r="Z80" s="9"/>
      <c r="AA80" s="7">
        <v>251060</v>
      </c>
      <c r="AB80" s="33"/>
      <c r="AC80" s="33"/>
      <c r="AD80" s="33"/>
      <c r="AE80" s="50">
        <v>46221</v>
      </c>
      <c r="AF80" s="44"/>
      <c r="AG80" s="45"/>
      <c r="AH80" s="36"/>
      <c r="AI80" s="36" t="s">
        <v>349</v>
      </c>
    </row>
    <row r="81" spans="1:35" x14ac:dyDescent="0.3">
      <c r="A81" s="43"/>
      <c r="B81" s="13">
        <v>46040</v>
      </c>
      <c r="C81" s="61">
        <v>12492</v>
      </c>
      <c r="D81" s="30" t="s">
        <v>688</v>
      </c>
      <c r="E81" s="30"/>
      <c r="F81" s="15" t="s">
        <v>483</v>
      </c>
      <c r="G81" s="69">
        <v>46076</v>
      </c>
      <c r="H81" s="15" t="s">
        <v>251</v>
      </c>
      <c r="I81" s="29">
        <v>43536</v>
      </c>
      <c r="J81" s="29">
        <v>45783</v>
      </c>
      <c r="K81" s="29" t="s">
        <v>219</v>
      </c>
      <c r="L81" s="29" t="s">
        <v>171</v>
      </c>
      <c r="M81" s="29" t="s">
        <v>22</v>
      </c>
      <c r="N81" s="29" t="s">
        <v>214</v>
      </c>
      <c r="O81" s="32">
        <v>44562</v>
      </c>
      <c r="P81" s="14"/>
      <c r="Q81" s="37"/>
      <c r="R81" s="38"/>
      <c r="S81" s="30"/>
      <c r="T81" s="39"/>
      <c r="U81" s="40"/>
      <c r="V81" s="39"/>
      <c r="W81" s="41"/>
      <c r="X81" s="9"/>
      <c r="Y81" s="9"/>
      <c r="Z81" s="9"/>
      <c r="AA81" s="7">
        <v>152166</v>
      </c>
      <c r="AB81" s="33"/>
      <c r="AC81" s="33"/>
      <c r="AD81" s="33"/>
      <c r="AE81" s="50">
        <v>46221</v>
      </c>
      <c r="AF81" s="44"/>
      <c r="AG81" s="45"/>
      <c r="AH81" s="36"/>
      <c r="AI81" s="36" t="s">
        <v>349</v>
      </c>
    </row>
    <row r="82" spans="1:35" x14ac:dyDescent="0.3">
      <c r="A82" s="43"/>
      <c r="B82" s="13">
        <v>46040</v>
      </c>
      <c r="C82" s="61">
        <v>10018586</v>
      </c>
      <c r="D82" s="30" t="s">
        <v>545</v>
      </c>
      <c r="E82" s="30"/>
      <c r="F82" s="15" t="s">
        <v>375</v>
      </c>
      <c r="G82" s="69">
        <v>46076</v>
      </c>
      <c r="H82" s="15" t="s">
        <v>251</v>
      </c>
      <c r="I82" s="29">
        <v>45023</v>
      </c>
      <c r="J82" s="29">
        <v>45839</v>
      </c>
      <c r="K82" s="29" t="s">
        <v>219</v>
      </c>
      <c r="L82" s="29" t="s">
        <v>178</v>
      </c>
      <c r="M82" s="29" t="s">
        <v>23</v>
      </c>
      <c r="N82" s="29" t="s">
        <v>214</v>
      </c>
      <c r="O82" s="32">
        <v>45658</v>
      </c>
      <c r="P82" s="14"/>
      <c r="Q82" s="37"/>
      <c r="R82" s="38"/>
      <c r="S82" s="30"/>
      <c r="T82" s="39"/>
      <c r="U82" s="40"/>
      <c r="V82" s="39"/>
      <c r="W82" s="41"/>
      <c r="X82" s="9"/>
      <c r="Y82" s="9"/>
      <c r="Z82" s="9"/>
      <c r="AA82" s="7">
        <v>68655</v>
      </c>
      <c r="AB82" s="33"/>
      <c r="AC82" s="33"/>
      <c r="AD82" s="33"/>
      <c r="AE82" s="50">
        <v>46221</v>
      </c>
      <c r="AF82" s="44"/>
      <c r="AG82" s="45"/>
      <c r="AH82" s="36"/>
      <c r="AI82" s="36" t="s">
        <v>349</v>
      </c>
    </row>
    <row r="83" spans="1:35" x14ac:dyDescent="0.3">
      <c r="A83" s="43"/>
      <c r="B83" s="13">
        <v>46040</v>
      </c>
      <c r="C83" s="61">
        <v>10018652</v>
      </c>
      <c r="D83" s="30" t="s">
        <v>546</v>
      </c>
      <c r="E83" s="30"/>
      <c r="F83" s="15" t="s">
        <v>376</v>
      </c>
      <c r="G83" s="69">
        <v>46076</v>
      </c>
      <c r="H83" s="15" t="s">
        <v>251</v>
      </c>
      <c r="I83" s="29">
        <v>45028</v>
      </c>
      <c r="J83" s="29">
        <v>45839</v>
      </c>
      <c r="K83" s="29" t="s">
        <v>219</v>
      </c>
      <c r="L83" s="29" t="s">
        <v>137</v>
      </c>
      <c r="M83" s="29" t="s">
        <v>23</v>
      </c>
      <c r="N83" s="29" t="s">
        <v>214</v>
      </c>
      <c r="O83" s="32"/>
      <c r="P83" s="14"/>
      <c r="Q83" s="37"/>
      <c r="R83" s="38"/>
      <c r="S83" s="30"/>
      <c r="T83" s="39"/>
      <c r="U83" s="40"/>
      <c r="V83" s="39"/>
      <c r="W83" s="41"/>
      <c r="X83" s="9"/>
      <c r="Y83" s="9"/>
      <c r="Z83" s="9"/>
      <c r="AA83" s="7">
        <v>68504</v>
      </c>
      <c r="AB83" s="33"/>
      <c r="AC83" s="33"/>
      <c r="AD83" s="33"/>
      <c r="AE83" s="50">
        <v>46221</v>
      </c>
      <c r="AF83" s="44"/>
      <c r="AG83" s="45"/>
      <c r="AH83" s="36"/>
      <c r="AI83" s="36" t="s">
        <v>349</v>
      </c>
    </row>
    <row r="84" spans="1:35" x14ac:dyDescent="0.3">
      <c r="A84" s="43"/>
      <c r="B84" s="13">
        <v>46040</v>
      </c>
      <c r="C84" s="61">
        <v>10020050</v>
      </c>
      <c r="D84" s="30" t="s">
        <v>568</v>
      </c>
      <c r="E84" s="30"/>
      <c r="F84" s="15" t="s">
        <v>413</v>
      </c>
      <c r="G84" s="69">
        <v>46076</v>
      </c>
      <c r="H84" s="15" t="s">
        <v>251</v>
      </c>
      <c r="I84" s="29">
        <v>45292</v>
      </c>
      <c r="J84" s="29">
        <v>45505</v>
      </c>
      <c r="K84" s="29" t="s">
        <v>211</v>
      </c>
      <c r="L84" s="29" t="s">
        <v>145</v>
      </c>
      <c r="M84" s="29" t="s">
        <v>23</v>
      </c>
      <c r="N84" s="29" t="s">
        <v>212</v>
      </c>
      <c r="O84" s="32"/>
      <c r="P84" s="14"/>
      <c r="Q84" s="37"/>
      <c r="R84" s="38"/>
      <c r="S84" s="30"/>
      <c r="T84" s="39"/>
      <c r="U84" s="40"/>
      <c r="V84" s="39"/>
      <c r="W84" s="41"/>
      <c r="X84" s="9"/>
      <c r="Y84" s="9"/>
      <c r="Z84" s="9"/>
      <c r="AA84" s="7">
        <v>14350</v>
      </c>
      <c r="AB84" s="33"/>
      <c r="AC84" s="33"/>
      <c r="AD84" s="33"/>
      <c r="AE84" s="50">
        <v>46221</v>
      </c>
      <c r="AF84" s="44"/>
      <c r="AG84" s="45"/>
      <c r="AH84" s="36"/>
      <c r="AI84" s="36" t="s">
        <v>349</v>
      </c>
    </row>
    <row r="85" spans="1:35" x14ac:dyDescent="0.3">
      <c r="A85" s="43"/>
      <c r="B85" s="13">
        <v>46040</v>
      </c>
      <c r="C85" s="61">
        <v>10022453</v>
      </c>
      <c r="D85" s="30" t="s">
        <v>629</v>
      </c>
      <c r="E85" s="30"/>
      <c r="F85" s="15" t="s">
        <v>407</v>
      </c>
      <c r="G85" s="69">
        <v>46076</v>
      </c>
      <c r="H85" s="15" t="s">
        <v>251</v>
      </c>
      <c r="I85" s="29">
        <v>45634</v>
      </c>
      <c r="J85" s="29">
        <v>45819</v>
      </c>
      <c r="K85" s="29" t="s">
        <v>211</v>
      </c>
      <c r="L85" s="29" t="s">
        <v>630</v>
      </c>
      <c r="M85" s="29" t="s">
        <v>23</v>
      </c>
      <c r="N85" s="29" t="s">
        <v>212</v>
      </c>
      <c r="O85" s="32"/>
      <c r="P85" s="14"/>
      <c r="Q85" s="37"/>
      <c r="R85" s="38"/>
      <c r="S85" s="30"/>
      <c r="T85" s="39"/>
      <c r="U85" s="40"/>
      <c r="V85" s="39"/>
      <c r="W85" s="41"/>
      <c r="X85" s="9"/>
      <c r="Y85" s="9"/>
      <c r="Z85" s="9"/>
      <c r="AA85" s="7">
        <v>16728</v>
      </c>
      <c r="AB85" s="33"/>
      <c r="AC85" s="33"/>
      <c r="AD85" s="33"/>
      <c r="AE85" s="50">
        <v>46221</v>
      </c>
      <c r="AF85" s="44"/>
      <c r="AG85" s="45"/>
      <c r="AH85" s="36"/>
      <c r="AI85" s="36" t="s">
        <v>349</v>
      </c>
    </row>
    <row r="86" spans="1:35" x14ac:dyDescent="0.3">
      <c r="A86" s="43"/>
      <c r="B86" s="13">
        <v>46040</v>
      </c>
      <c r="C86" s="61">
        <v>10016501</v>
      </c>
      <c r="D86" s="30" t="s">
        <v>520</v>
      </c>
      <c r="E86" s="30"/>
      <c r="F86" s="15" t="s">
        <v>449</v>
      </c>
      <c r="G86" s="69">
        <v>46077</v>
      </c>
      <c r="H86" s="15" t="s">
        <v>251</v>
      </c>
      <c r="I86" s="29">
        <v>44599</v>
      </c>
      <c r="J86" s="29">
        <v>45839</v>
      </c>
      <c r="K86" s="29" t="s">
        <v>219</v>
      </c>
      <c r="L86" s="29" t="s">
        <v>100</v>
      </c>
      <c r="M86" s="29" t="s">
        <v>24</v>
      </c>
      <c r="N86" s="29" t="s">
        <v>214</v>
      </c>
      <c r="O86" s="32">
        <v>45292</v>
      </c>
      <c r="P86" s="14"/>
      <c r="Q86" s="37"/>
      <c r="R86" s="38"/>
      <c r="S86" s="30"/>
      <c r="T86" s="39"/>
      <c r="U86" s="40"/>
      <c r="V86" s="39"/>
      <c r="W86" s="41"/>
      <c r="X86" s="9"/>
      <c r="Y86" s="9"/>
      <c r="Z86" s="9"/>
      <c r="AA86" s="7">
        <v>121560</v>
      </c>
      <c r="AB86" s="33"/>
      <c r="AC86" s="33"/>
      <c r="AD86" s="33"/>
      <c r="AE86" s="50">
        <v>46221</v>
      </c>
      <c r="AF86" s="44"/>
      <c r="AG86" s="45"/>
      <c r="AH86" s="36"/>
      <c r="AI86" s="36"/>
    </row>
    <row r="87" spans="1:35" x14ac:dyDescent="0.3">
      <c r="A87" s="43"/>
      <c r="B87" s="13">
        <v>46040</v>
      </c>
      <c r="C87" s="61">
        <v>10017023</v>
      </c>
      <c r="D87" s="30" t="s">
        <v>526</v>
      </c>
      <c r="E87" s="30"/>
      <c r="F87" s="15" t="s">
        <v>465</v>
      </c>
      <c r="G87" s="69">
        <v>46077</v>
      </c>
      <c r="H87" s="15" t="s">
        <v>251</v>
      </c>
      <c r="I87" s="29">
        <v>44725</v>
      </c>
      <c r="J87" s="29">
        <v>45630</v>
      </c>
      <c r="K87" s="29" t="s">
        <v>211</v>
      </c>
      <c r="L87" s="29" t="s">
        <v>117</v>
      </c>
      <c r="M87" s="29" t="s">
        <v>23</v>
      </c>
      <c r="N87" s="29" t="s">
        <v>212</v>
      </c>
      <c r="O87" s="32"/>
      <c r="P87" s="14"/>
      <c r="Q87" s="37"/>
      <c r="R87" s="38"/>
      <c r="S87" s="30"/>
      <c r="T87" s="39"/>
      <c r="U87" s="40"/>
      <c r="V87" s="39"/>
      <c r="W87" s="41"/>
      <c r="X87" s="9"/>
      <c r="Y87" s="9"/>
      <c r="Z87" s="9"/>
      <c r="AA87" s="7">
        <v>46634</v>
      </c>
      <c r="AB87" s="33"/>
      <c r="AC87" s="33"/>
      <c r="AD87" s="33"/>
      <c r="AE87" s="50">
        <v>46221</v>
      </c>
      <c r="AF87" s="44"/>
      <c r="AG87" s="45"/>
      <c r="AH87" s="36"/>
      <c r="AI87" s="36"/>
    </row>
    <row r="88" spans="1:35" x14ac:dyDescent="0.3">
      <c r="A88" s="43"/>
      <c r="B88" s="13">
        <v>46040</v>
      </c>
      <c r="C88" s="61">
        <v>10017486</v>
      </c>
      <c r="D88" s="30" t="s">
        <v>530</v>
      </c>
      <c r="E88" s="30"/>
      <c r="F88" s="15" t="s">
        <v>459</v>
      </c>
      <c r="G88" s="69">
        <v>46077</v>
      </c>
      <c r="H88" s="15" t="s">
        <v>251</v>
      </c>
      <c r="I88" s="29">
        <v>44803</v>
      </c>
      <c r="J88" s="29">
        <v>45632</v>
      </c>
      <c r="K88" s="29" t="s">
        <v>213</v>
      </c>
      <c r="L88" s="29" t="s">
        <v>95</v>
      </c>
      <c r="M88" s="29" t="s">
        <v>23</v>
      </c>
      <c r="N88" s="29" t="s">
        <v>214</v>
      </c>
      <c r="O88" s="32">
        <v>45292</v>
      </c>
      <c r="P88" s="14"/>
      <c r="Q88" s="37"/>
      <c r="R88" s="38"/>
      <c r="S88" s="30"/>
      <c r="T88" s="39"/>
      <c r="U88" s="40"/>
      <c r="V88" s="39"/>
      <c r="W88" s="41"/>
      <c r="X88" s="9"/>
      <c r="Y88" s="9"/>
      <c r="Z88" s="9"/>
      <c r="AA88" s="7">
        <v>54635</v>
      </c>
      <c r="AB88" s="33"/>
      <c r="AC88" s="33"/>
      <c r="AD88" s="33"/>
      <c r="AE88" s="50">
        <v>46221</v>
      </c>
      <c r="AF88" s="44"/>
      <c r="AG88" s="45"/>
      <c r="AH88" s="36"/>
      <c r="AI88" s="36"/>
    </row>
    <row r="89" spans="1:35" x14ac:dyDescent="0.3">
      <c r="A89" s="43"/>
      <c r="B89" s="13">
        <v>46040</v>
      </c>
      <c r="C89" s="61">
        <v>10018434</v>
      </c>
      <c r="D89" s="30" t="s">
        <v>543</v>
      </c>
      <c r="E89" s="30"/>
      <c r="F89" s="15" t="s">
        <v>390</v>
      </c>
      <c r="G89" s="69">
        <v>46077</v>
      </c>
      <c r="H89" s="15" t="s">
        <v>251</v>
      </c>
      <c r="I89" s="29">
        <v>44992</v>
      </c>
      <c r="J89" s="29">
        <v>45809</v>
      </c>
      <c r="K89" s="29" t="s">
        <v>211</v>
      </c>
      <c r="L89" s="29" t="s">
        <v>173</v>
      </c>
      <c r="M89" s="29" t="s">
        <v>16</v>
      </c>
      <c r="N89" s="29" t="s">
        <v>212</v>
      </c>
      <c r="O89" s="32"/>
      <c r="P89" s="14"/>
      <c r="Q89" s="37"/>
      <c r="R89" s="38"/>
      <c r="S89" s="30"/>
      <c r="T89" s="39"/>
      <c r="U89" s="40"/>
      <c r="V89" s="39"/>
      <c r="W89" s="41"/>
      <c r="X89" s="9"/>
      <c r="Y89" s="9"/>
      <c r="Z89" s="9"/>
      <c r="AA89" s="7">
        <v>49330</v>
      </c>
      <c r="AB89" s="33"/>
      <c r="AC89" s="33"/>
      <c r="AD89" s="33"/>
      <c r="AE89" s="50">
        <v>46221</v>
      </c>
      <c r="AF89" s="44"/>
      <c r="AG89" s="45"/>
      <c r="AH89" s="36"/>
      <c r="AI89" s="36"/>
    </row>
    <row r="90" spans="1:35" x14ac:dyDescent="0.3">
      <c r="A90" s="43"/>
      <c r="B90" s="13">
        <v>46040</v>
      </c>
      <c r="C90" s="61">
        <v>10021401</v>
      </c>
      <c r="D90" s="30" t="s">
        <v>601</v>
      </c>
      <c r="E90" s="30"/>
      <c r="F90" s="15" t="s">
        <v>441</v>
      </c>
      <c r="G90" s="69">
        <v>46077</v>
      </c>
      <c r="H90" s="15" t="s">
        <v>251</v>
      </c>
      <c r="I90" s="29">
        <v>45477</v>
      </c>
      <c r="J90" s="29">
        <v>45809</v>
      </c>
      <c r="K90" s="29" t="s">
        <v>211</v>
      </c>
      <c r="L90" s="29" t="s">
        <v>96</v>
      </c>
      <c r="M90" s="29" t="s">
        <v>23</v>
      </c>
      <c r="N90" s="29" t="s">
        <v>212</v>
      </c>
      <c r="O90" s="32"/>
      <c r="P90" s="14"/>
      <c r="Q90" s="37"/>
      <c r="R90" s="38"/>
      <c r="S90" s="30"/>
      <c r="T90" s="39"/>
      <c r="U90" s="40"/>
      <c r="V90" s="39"/>
      <c r="W90" s="41"/>
      <c r="X90" s="9"/>
      <c r="Y90" s="9"/>
      <c r="Z90" s="9"/>
      <c r="AA90" s="7">
        <v>6514</v>
      </c>
      <c r="AB90" s="33"/>
      <c r="AC90" s="33"/>
      <c r="AD90" s="33"/>
      <c r="AE90" s="50">
        <v>46221</v>
      </c>
      <c r="AF90" s="44"/>
      <c r="AG90" s="45"/>
      <c r="AH90" s="36"/>
      <c r="AI90" s="36"/>
    </row>
    <row r="91" spans="1:35" x14ac:dyDescent="0.3">
      <c r="A91" s="43"/>
      <c r="B91" s="13">
        <v>46040</v>
      </c>
      <c r="C91" s="61">
        <v>10019058</v>
      </c>
      <c r="D91" s="30" t="s">
        <v>555</v>
      </c>
      <c r="E91" s="30"/>
      <c r="F91" s="15" t="s">
        <v>381</v>
      </c>
      <c r="G91" s="69">
        <v>46078</v>
      </c>
      <c r="H91" s="15" t="s">
        <v>251</v>
      </c>
      <c r="I91" s="29">
        <v>45109</v>
      </c>
      <c r="J91" s="29">
        <v>45839</v>
      </c>
      <c r="K91" s="29" t="s">
        <v>211</v>
      </c>
      <c r="L91" s="29" t="s">
        <v>161</v>
      </c>
      <c r="M91" s="29" t="s">
        <v>23</v>
      </c>
      <c r="N91" s="29" t="s">
        <v>212</v>
      </c>
      <c r="O91" s="32"/>
      <c r="P91" s="14"/>
      <c r="Q91" s="37"/>
      <c r="R91" s="38"/>
      <c r="S91" s="30"/>
      <c r="T91" s="39"/>
      <c r="U91" s="40"/>
      <c r="V91" s="39"/>
      <c r="W91" s="41"/>
      <c r="X91" s="9"/>
      <c r="Y91" s="9"/>
      <c r="Z91" s="9"/>
      <c r="AA91" s="7">
        <v>51759</v>
      </c>
      <c r="AB91" s="33"/>
      <c r="AC91" s="33"/>
      <c r="AD91" s="33"/>
      <c r="AE91" s="50">
        <v>46221</v>
      </c>
      <c r="AF91" s="44"/>
      <c r="AG91" s="45"/>
      <c r="AH91" s="36"/>
      <c r="AI91" s="36"/>
    </row>
    <row r="92" spans="1:35" x14ac:dyDescent="0.3">
      <c r="A92" s="43"/>
      <c r="B92" s="13">
        <v>46040</v>
      </c>
      <c r="C92" s="61">
        <v>10020559</v>
      </c>
      <c r="D92" s="30" t="s">
        <v>579</v>
      </c>
      <c r="E92" s="30"/>
      <c r="F92" s="15" t="s">
        <v>351</v>
      </c>
      <c r="G92" s="69">
        <v>46078</v>
      </c>
      <c r="H92" s="15" t="s">
        <v>251</v>
      </c>
      <c r="I92" s="29">
        <v>45335</v>
      </c>
      <c r="J92" s="29">
        <v>45858</v>
      </c>
      <c r="K92" s="29" t="s">
        <v>219</v>
      </c>
      <c r="L92" s="29" t="s">
        <v>132</v>
      </c>
      <c r="M92" s="29" t="s">
        <v>23</v>
      </c>
      <c r="N92" s="29" t="s">
        <v>214</v>
      </c>
      <c r="O92" s="32"/>
      <c r="P92" s="14"/>
      <c r="Q92" s="37"/>
      <c r="R92" s="38"/>
      <c r="S92" s="30"/>
      <c r="T92" s="39"/>
      <c r="U92" s="40"/>
      <c r="V92" s="39"/>
      <c r="W92" s="41"/>
      <c r="X92" s="9"/>
      <c r="Y92" s="9"/>
      <c r="Z92" s="9"/>
      <c r="AA92" s="7">
        <v>24922</v>
      </c>
      <c r="AB92" s="33"/>
      <c r="AC92" s="33"/>
      <c r="AD92" s="33"/>
      <c r="AE92" s="50">
        <v>46221</v>
      </c>
      <c r="AF92" s="44"/>
      <c r="AG92" s="45"/>
      <c r="AH92" s="36"/>
      <c r="AI92" s="36"/>
    </row>
    <row r="93" spans="1:35" x14ac:dyDescent="0.3">
      <c r="A93" s="43"/>
      <c r="B93" s="13">
        <v>46040</v>
      </c>
      <c r="C93" s="61">
        <v>10020881</v>
      </c>
      <c r="D93" s="30" t="s">
        <v>585</v>
      </c>
      <c r="E93" s="30"/>
      <c r="F93" s="15" t="s">
        <v>396</v>
      </c>
      <c r="G93" s="69">
        <v>46078</v>
      </c>
      <c r="H93" s="15" t="s">
        <v>251</v>
      </c>
      <c r="I93" s="29">
        <v>45398</v>
      </c>
      <c r="J93" s="29">
        <v>45930</v>
      </c>
      <c r="K93" s="29" t="s">
        <v>586</v>
      </c>
      <c r="L93" s="29" t="s">
        <v>104</v>
      </c>
      <c r="M93" s="29" t="s">
        <v>260</v>
      </c>
      <c r="N93" s="29" t="s">
        <v>227</v>
      </c>
      <c r="O93" s="32"/>
      <c r="P93" s="14"/>
      <c r="Q93" s="37"/>
      <c r="R93" s="38"/>
      <c r="S93" s="30"/>
      <c r="T93" s="39"/>
      <c r="U93" s="40"/>
      <c r="V93" s="39"/>
      <c r="W93" s="41"/>
      <c r="X93" s="9"/>
      <c r="Y93" s="9"/>
      <c r="Z93" s="9"/>
      <c r="AA93" s="7">
        <v>31582</v>
      </c>
      <c r="AB93" s="33"/>
      <c r="AC93" s="33"/>
      <c r="AD93" s="33"/>
      <c r="AE93" s="50">
        <v>46221</v>
      </c>
      <c r="AF93" s="44"/>
      <c r="AG93" s="45"/>
      <c r="AH93" s="36"/>
      <c r="AI93" s="36"/>
    </row>
    <row r="94" spans="1:35" x14ac:dyDescent="0.3">
      <c r="A94" s="43"/>
      <c r="B94" s="13">
        <v>46040</v>
      </c>
      <c r="C94" s="61">
        <v>10020956</v>
      </c>
      <c r="D94" s="30" t="s">
        <v>588</v>
      </c>
      <c r="E94" s="30"/>
      <c r="F94" s="15" t="s">
        <v>470</v>
      </c>
      <c r="G94" s="69">
        <v>46078</v>
      </c>
      <c r="H94" s="15" t="s">
        <v>251</v>
      </c>
      <c r="I94" s="29">
        <v>45413</v>
      </c>
      <c r="J94" s="29">
        <v>45689</v>
      </c>
      <c r="K94" s="29" t="s">
        <v>211</v>
      </c>
      <c r="L94" s="29" t="s">
        <v>142</v>
      </c>
      <c r="M94" s="29" t="s">
        <v>23</v>
      </c>
      <c r="N94" s="29" t="s">
        <v>212</v>
      </c>
      <c r="O94" s="32"/>
      <c r="P94" s="14"/>
      <c r="Q94" s="37"/>
      <c r="R94" s="38"/>
      <c r="S94" s="30"/>
      <c r="T94" s="39"/>
      <c r="U94" s="40"/>
      <c r="V94" s="39"/>
      <c r="W94" s="41"/>
      <c r="X94" s="9"/>
      <c r="Y94" s="9"/>
      <c r="Z94" s="9"/>
      <c r="AA94" s="7">
        <v>8303</v>
      </c>
      <c r="AB94" s="33"/>
      <c r="AC94" s="33"/>
      <c r="AD94" s="33"/>
      <c r="AE94" s="50">
        <v>46221</v>
      </c>
      <c r="AF94" s="44"/>
      <c r="AG94" s="45"/>
      <c r="AH94" s="36"/>
      <c r="AI94" s="36"/>
    </row>
    <row r="95" spans="1:35" x14ac:dyDescent="0.3">
      <c r="A95" s="43"/>
      <c r="B95" s="13">
        <v>46040</v>
      </c>
      <c r="C95" s="61">
        <v>10020979</v>
      </c>
      <c r="D95" s="30" t="s">
        <v>589</v>
      </c>
      <c r="E95" s="30"/>
      <c r="F95" s="15" t="s">
        <v>426</v>
      </c>
      <c r="G95" s="69">
        <v>46078</v>
      </c>
      <c r="H95" s="15" t="s">
        <v>251</v>
      </c>
      <c r="I95" s="29">
        <v>45409</v>
      </c>
      <c r="J95" s="29">
        <v>45474</v>
      </c>
      <c r="K95" s="29" t="s">
        <v>211</v>
      </c>
      <c r="L95" s="29" t="s">
        <v>188</v>
      </c>
      <c r="M95" s="29" t="s">
        <v>23</v>
      </c>
      <c r="N95" s="29" t="s">
        <v>212</v>
      </c>
      <c r="O95" s="32"/>
      <c r="P95" s="14"/>
      <c r="Q95" s="37"/>
      <c r="R95" s="38"/>
      <c r="S95" s="30"/>
      <c r="T95" s="39"/>
      <c r="U95" s="40"/>
      <c r="V95" s="39"/>
      <c r="W95" s="41"/>
      <c r="X95" s="9"/>
      <c r="Y95" s="9"/>
      <c r="Z95" s="9"/>
      <c r="AA95" s="7">
        <v>9471</v>
      </c>
      <c r="AB95" s="33"/>
      <c r="AC95" s="33"/>
      <c r="AD95" s="33"/>
      <c r="AE95" s="50">
        <v>46221</v>
      </c>
      <c r="AF95" s="44"/>
      <c r="AG95" s="45"/>
      <c r="AH95" s="36"/>
      <c r="AI95" s="36"/>
    </row>
    <row r="96" spans="1:35" x14ac:dyDescent="0.3">
      <c r="A96" s="43"/>
      <c r="B96" s="13">
        <v>46040</v>
      </c>
      <c r="C96" s="61">
        <v>10021695</v>
      </c>
      <c r="D96" s="30" t="s">
        <v>608</v>
      </c>
      <c r="E96" s="30"/>
      <c r="F96" s="15" t="s">
        <v>415</v>
      </c>
      <c r="G96" s="69">
        <v>46078</v>
      </c>
      <c r="H96" s="15" t="s">
        <v>251</v>
      </c>
      <c r="I96" s="29">
        <v>45524</v>
      </c>
      <c r="J96" s="29">
        <v>45839</v>
      </c>
      <c r="K96" s="29" t="s">
        <v>211</v>
      </c>
      <c r="L96" s="29" t="s">
        <v>116</v>
      </c>
      <c r="M96" s="29" t="s">
        <v>24</v>
      </c>
      <c r="N96" s="29" t="s">
        <v>212</v>
      </c>
      <c r="O96" s="32"/>
      <c r="P96" s="14"/>
      <c r="Q96" s="37"/>
      <c r="R96" s="38"/>
      <c r="S96" s="30"/>
      <c r="T96" s="39"/>
      <c r="U96" s="40"/>
      <c r="V96" s="39"/>
      <c r="W96" s="41"/>
      <c r="X96" s="9"/>
      <c r="Y96" s="9"/>
      <c r="Z96" s="9"/>
      <c r="AA96" s="7">
        <v>9689</v>
      </c>
      <c r="AB96" s="33"/>
      <c r="AC96" s="33"/>
      <c r="AD96" s="33"/>
      <c r="AE96" s="50">
        <v>46221</v>
      </c>
      <c r="AF96" s="44"/>
      <c r="AG96" s="45"/>
      <c r="AH96" s="36"/>
      <c r="AI96" s="36"/>
    </row>
    <row r="97" spans="1:36" x14ac:dyDescent="0.3">
      <c r="A97" s="43"/>
      <c r="B97" s="13">
        <v>46040</v>
      </c>
      <c r="C97" s="61">
        <v>12317</v>
      </c>
      <c r="D97" s="30" t="s">
        <v>508</v>
      </c>
      <c r="E97" s="30"/>
      <c r="F97" s="15" t="s">
        <v>363</v>
      </c>
      <c r="G97" s="69">
        <v>46079</v>
      </c>
      <c r="H97" s="15" t="s">
        <v>251</v>
      </c>
      <c r="I97" s="29">
        <v>43501</v>
      </c>
      <c r="J97" s="29">
        <v>45777</v>
      </c>
      <c r="K97" s="29" t="s">
        <v>216</v>
      </c>
      <c r="L97" s="29" t="s">
        <v>342</v>
      </c>
      <c r="M97" s="29" t="s">
        <v>16</v>
      </c>
      <c r="N97" s="29" t="s">
        <v>217</v>
      </c>
      <c r="O97" s="32">
        <v>45658</v>
      </c>
      <c r="P97" s="14"/>
      <c r="Q97" s="37"/>
      <c r="R97" s="38"/>
      <c r="S97" s="30"/>
      <c r="T97" s="39"/>
      <c r="U97" s="40"/>
      <c r="V97" s="39"/>
      <c r="W97" s="41"/>
      <c r="X97" s="9"/>
      <c r="Y97" s="9"/>
      <c r="Z97" s="9"/>
      <c r="AA97" s="7">
        <v>410588</v>
      </c>
      <c r="AB97" s="33"/>
      <c r="AC97" s="33"/>
      <c r="AD97" s="33"/>
      <c r="AE97" s="50">
        <v>46221</v>
      </c>
      <c r="AF97" s="44"/>
      <c r="AG97" s="45"/>
      <c r="AH97" s="36"/>
      <c r="AI97" s="36" t="s">
        <v>349</v>
      </c>
    </row>
    <row r="98" spans="1:36" x14ac:dyDescent="0.3">
      <c r="A98" s="43"/>
      <c r="B98" s="13">
        <v>46040</v>
      </c>
      <c r="C98" s="61">
        <v>10017525</v>
      </c>
      <c r="D98" s="30" t="s">
        <v>532</v>
      </c>
      <c r="E98" s="30"/>
      <c r="F98" s="15" t="s">
        <v>466</v>
      </c>
      <c r="G98" s="69">
        <v>46079</v>
      </c>
      <c r="H98" s="15" t="s">
        <v>251</v>
      </c>
      <c r="I98" s="29">
        <v>44805</v>
      </c>
      <c r="J98" s="29">
        <v>45505</v>
      </c>
      <c r="K98" s="29" t="s">
        <v>211</v>
      </c>
      <c r="L98" s="29" t="s">
        <v>151</v>
      </c>
      <c r="M98" s="29" t="s">
        <v>23</v>
      </c>
      <c r="N98" s="29" t="s">
        <v>212</v>
      </c>
      <c r="O98" s="32"/>
      <c r="P98" s="14"/>
      <c r="Q98" s="37"/>
      <c r="R98" s="38"/>
      <c r="S98" s="30"/>
      <c r="T98" s="39"/>
      <c r="U98" s="40"/>
      <c r="V98" s="39"/>
      <c r="W98" s="41"/>
      <c r="X98" s="9"/>
      <c r="Y98" s="9"/>
      <c r="Z98" s="9"/>
      <c r="AA98" s="7">
        <v>37917</v>
      </c>
      <c r="AB98" s="33"/>
      <c r="AC98" s="33"/>
      <c r="AD98" s="33"/>
      <c r="AE98" s="50">
        <v>46221</v>
      </c>
      <c r="AF98" s="44"/>
      <c r="AG98" s="45"/>
      <c r="AH98" s="36"/>
      <c r="AI98" s="36" t="s">
        <v>349</v>
      </c>
    </row>
    <row r="99" spans="1:36" x14ac:dyDescent="0.3">
      <c r="A99" s="43"/>
      <c r="B99" s="13">
        <v>46040</v>
      </c>
      <c r="C99" s="61">
        <v>10020237</v>
      </c>
      <c r="D99" s="30" t="s">
        <v>570</v>
      </c>
      <c r="E99" s="30"/>
      <c r="F99" s="15" t="s">
        <v>34</v>
      </c>
      <c r="G99" s="69">
        <v>46079</v>
      </c>
      <c r="H99" s="15" t="s">
        <v>251</v>
      </c>
      <c r="I99" s="29">
        <v>45306</v>
      </c>
      <c r="J99" s="29">
        <v>45744</v>
      </c>
      <c r="K99" s="29" t="s">
        <v>211</v>
      </c>
      <c r="L99" s="29" t="s">
        <v>183</v>
      </c>
      <c r="M99" s="29" t="s">
        <v>23</v>
      </c>
      <c r="N99" s="29" t="s">
        <v>212</v>
      </c>
      <c r="O99" s="32"/>
      <c r="P99" s="14"/>
      <c r="Q99" s="37"/>
      <c r="R99" s="38"/>
      <c r="S99" s="30"/>
      <c r="T99" s="39"/>
      <c r="U99" s="40"/>
      <c r="V99" s="39"/>
      <c r="W99" s="41"/>
      <c r="X99" s="9"/>
      <c r="Y99" s="9"/>
      <c r="Z99" s="9"/>
      <c r="AA99" s="7">
        <v>35879</v>
      </c>
      <c r="AB99" s="33"/>
      <c r="AC99" s="33"/>
      <c r="AD99" s="33"/>
      <c r="AE99" s="50">
        <v>46221</v>
      </c>
      <c r="AF99" s="44"/>
      <c r="AG99" s="45"/>
      <c r="AH99" s="36"/>
      <c r="AI99" s="36" t="s">
        <v>349</v>
      </c>
    </row>
    <row r="100" spans="1:36" x14ac:dyDescent="0.3">
      <c r="A100" s="43"/>
      <c r="B100" s="13">
        <v>46040</v>
      </c>
      <c r="C100" s="61">
        <v>10021061</v>
      </c>
      <c r="D100" s="30" t="s">
        <v>594</v>
      </c>
      <c r="E100" s="30"/>
      <c r="F100" s="15" t="s">
        <v>14</v>
      </c>
      <c r="G100" s="69">
        <v>46079</v>
      </c>
      <c r="H100" s="15" t="s">
        <v>251</v>
      </c>
      <c r="I100" s="29">
        <v>45432</v>
      </c>
      <c r="J100" s="29">
        <v>45959</v>
      </c>
      <c r="K100" s="29" t="s">
        <v>595</v>
      </c>
      <c r="L100" s="29" t="s">
        <v>104</v>
      </c>
      <c r="M100" s="29" t="s">
        <v>260</v>
      </c>
      <c r="N100" s="29" t="s">
        <v>212</v>
      </c>
      <c r="O100" s="32"/>
      <c r="P100" s="14"/>
      <c r="Q100" s="37"/>
      <c r="R100" s="38"/>
      <c r="S100" s="30"/>
      <c r="T100" s="39"/>
      <c r="U100" s="40"/>
      <c r="V100" s="39"/>
      <c r="W100" s="41"/>
      <c r="X100" s="9"/>
      <c r="Y100" s="9"/>
      <c r="Z100" s="9"/>
      <c r="AA100" s="7">
        <v>41685</v>
      </c>
      <c r="AB100" s="33"/>
      <c r="AC100" s="33"/>
      <c r="AD100" s="33"/>
      <c r="AE100" s="50">
        <v>46221</v>
      </c>
      <c r="AF100" s="44"/>
      <c r="AG100" s="45"/>
      <c r="AH100" s="36"/>
      <c r="AI100" s="36" t="s">
        <v>349</v>
      </c>
    </row>
    <row r="101" spans="1:36" x14ac:dyDescent="0.3">
      <c r="A101" s="43"/>
      <c r="B101" s="13">
        <v>46040</v>
      </c>
      <c r="C101" s="61">
        <v>10021095</v>
      </c>
      <c r="D101" s="30" t="s">
        <v>596</v>
      </c>
      <c r="E101" s="30"/>
      <c r="F101" s="15" t="s">
        <v>278</v>
      </c>
      <c r="G101" s="69">
        <v>46079</v>
      </c>
      <c r="H101" s="15" t="s">
        <v>251</v>
      </c>
      <c r="I101" s="29">
        <v>45414</v>
      </c>
      <c r="J101" s="29">
        <v>45782</v>
      </c>
      <c r="K101" s="29" t="s">
        <v>219</v>
      </c>
      <c r="L101" s="29" t="s">
        <v>193</v>
      </c>
      <c r="M101" s="29" t="s">
        <v>16</v>
      </c>
      <c r="N101" s="29" t="s">
        <v>214</v>
      </c>
      <c r="O101" s="32"/>
      <c r="P101" s="14"/>
      <c r="Q101" s="37"/>
      <c r="R101" s="38"/>
      <c r="S101" s="30"/>
      <c r="T101" s="39"/>
      <c r="U101" s="40"/>
      <c r="V101" s="39"/>
      <c r="W101" s="41"/>
      <c r="X101" s="9"/>
      <c r="Y101" s="9"/>
      <c r="Z101" s="9"/>
      <c r="AA101" s="7">
        <v>41634</v>
      </c>
      <c r="AB101" s="33"/>
      <c r="AC101" s="33"/>
      <c r="AD101" s="33"/>
      <c r="AE101" s="50">
        <v>46221</v>
      </c>
      <c r="AF101" s="44"/>
      <c r="AG101" s="45"/>
      <c r="AH101" s="36"/>
      <c r="AI101" s="36" t="s">
        <v>349</v>
      </c>
    </row>
    <row r="102" spans="1:36" x14ac:dyDescent="0.3">
      <c r="A102" s="43"/>
      <c r="B102" s="13">
        <v>46040</v>
      </c>
      <c r="C102" s="61">
        <v>10021770</v>
      </c>
      <c r="D102" s="30" t="s">
        <v>610</v>
      </c>
      <c r="E102" s="30"/>
      <c r="F102" s="15" t="s">
        <v>409</v>
      </c>
      <c r="G102" s="69">
        <v>46079</v>
      </c>
      <c r="H102" s="15" t="s">
        <v>251</v>
      </c>
      <c r="I102" s="29">
        <v>45533</v>
      </c>
      <c r="J102" s="29">
        <v>45754</v>
      </c>
      <c r="K102" s="29" t="s">
        <v>219</v>
      </c>
      <c r="L102" s="29" t="s">
        <v>175</v>
      </c>
      <c r="M102" s="29" t="s">
        <v>22</v>
      </c>
      <c r="N102" s="29" t="s">
        <v>214</v>
      </c>
      <c r="O102" s="32"/>
      <c r="P102" s="14"/>
      <c r="Q102" s="37"/>
      <c r="R102" s="38"/>
      <c r="S102" s="30"/>
      <c r="T102" s="39"/>
      <c r="U102" s="40"/>
      <c r="V102" s="39"/>
      <c r="W102" s="41"/>
      <c r="X102" s="9"/>
      <c r="Y102" s="9"/>
      <c r="Z102" s="9"/>
      <c r="AA102" s="7">
        <v>15457</v>
      </c>
      <c r="AB102" s="33"/>
      <c r="AC102" s="33"/>
      <c r="AD102" s="33"/>
      <c r="AE102" s="50">
        <v>46221</v>
      </c>
      <c r="AF102" s="44"/>
      <c r="AG102" s="45"/>
      <c r="AH102" s="36"/>
      <c r="AI102" s="36" t="s">
        <v>349</v>
      </c>
    </row>
    <row r="103" spans="1:36" x14ac:dyDescent="0.3">
      <c r="A103" s="43"/>
      <c r="B103" s="13">
        <v>46040</v>
      </c>
      <c r="C103" s="61">
        <v>10022786</v>
      </c>
      <c r="D103" s="30" t="s">
        <v>638</v>
      </c>
      <c r="E103" s="30"/>
      <c r="F103" s="15" t="s">
        <v>385</v>
      </c>
      <c r="G103" s="69">
        <v>46079</v>
      </c>
      <c r="H103" s="15" t="s">
        <v>251</v>
      </c>
      <c r="I103" s="29">
        <v>45670</v>
      </c>
      <c r="J103" s="29">
        <v>45929</v>
      </c>
      <c r="K103" s="29" t="s">
        <v>224</v>
      </c>
      <c r="L103" s="29" t="s">
        <v>309</v>
      </c>
      <c r="M103" s="29" t="s">
        <v>26</v>
      </c>
      <c r="N103" s="29" t="s">
        <v>217</v>
      </c>
      <c r="O103" s="32"/>
      <c r="P103" s="14"/>
      <c r="Q103" s="37"/>
      <c r="R103" s="38"/>
      <c r="S103" s="30"/>
      <c r="T103" s="39"/>
      <c r="U103" s="40"/>
      <c r="V103" s="39"/>
      <c r="W103" s="41"/>
      <c r="X103" s="9"/>
      <c r="Y103" s="9"/>
      <c r="Z103" s="9"/>
      <c r="AA103" s="7">
        <v>32629</v>
      </c>
      <c r="AB103" s="33"/>
      <c r="AC103" s="33"/>
      <c r="AD103" s="33"/>
      <c r="AE103" s="50">
        <v>46221</v>
      </c>
      <c r="AF103" s="44"/>
      <c r="AG103" s="45"/>
      <c r="AH103" s="36"/>
      <c r="AI103" s="36" t="s">
        <v>349</v>
      </c>
    </row>
    <row r="104" spans="1:36" x14ac:dyDescent="0.3">
      <c r="A104" s="43"/>
      <c r="B104" s="13">
        <v>46040</v>
      </c>
      <c r="C104" s="61">
        <v>10021380</v>
      </c>
      <c r="D104" s="30" t="s">
        <v>600</v>
      </c>
      <c r="E104" s="30"/>
      <c r="F104" s="15" t="s">
        <v>60</v>
      </c>
      <c r="G104" s="69">
        <v>46082</v>
      </c>
      <c r="H104" s="15" t="s">
        <v>251</v>
      </c>
      <c r="I104" s="29">
        <v>45473</v>
      </c>
      <c r="J104" s="29">
        <v>45893</v>
      </c>
      <c r="K104" s="29" t="s">
        <v>219</v>
      </c>
      <c r="L104" s="29" t="s">
        <v>124</v>
      </c>
      <c r="M104" s="29" t="s">
        <v>23</v>
      </c>
      <c r="N104" s="29" t="s">
        <v>214</v>
      </c>
      <c r="O104" s="32"/>
      <c r="P104" s="14"/>
      <c r="Q104" s="37"/>
      <c r="R104" s="38"/>
      <c r="S104" s="30"/>
      <c r="T104" s="39"/>
      <c r="U104" s="40"/>
      <c r="V104" s="39"/>
      <c r="W104" s="41"/>
      <c r="X104" s="9"/>
      <c r="Y104" s="9"/>
      <c r="Z104" s="9"/>
      <c r="AA104" s="7">
        <v>16103</v>
      </c>
      <c r="AB104" s="33"/>
      <c r="AC104" s="33"/>
      <c r="AD104" s="33"/>
      <c r="AE104" s="50">
        <v>46221</v>
      </c>
      <c r="AF104" s="44"/>
      <c r="AG104" s="45"/>
      <c r="AH104" s="36"/>
      <c r="AI104" s="36"/>
    </row>
    <row r="105" spans="1:36" x14ac:dyDescent="0.3">
      <c r="A105" s="43"/>
      <c r="B105" s="13">
        <v>46040</v>
      </c>
      <c r="C105" s="61">
        <v>10021635</v>
      </c>
      <c r="D105" s="30" t="s">
        <v>604</v>
      </c>
      <c r="E105" s="30"/>
      <c r="F105" s="15" t="s">
        <v>431</v>
      </c>
      <c r="G105" s="69">
        <v>46082</v>
      </c>
      <c r="H105" s="15" t="s">
        <v>251</v>
      </c>
      <c r="I105" s="29">
        <v>45514</v>
      </c>
      <c r="J105" s="29">
        <v>45719</v>
      </c>
      <c r="K105" s="29" t="s">
        <v>211</v>
      </c>
      <c r="L105" s="29" t="s">
        <v>141</v>
      </c>
      <c r="M105" s="29" t="s">
        <v>23</v>
      </c>
      <c r="N105" s="29" t="s">
        <v>212</v>
      </c>
      <c r="O105" s="32"/>
      <c r="P105" s="14"/>
      <c r="Q105" s="37"/>
      <c r="R105" s="38"/>
      <c r="S105" s="30"/>
      <c r="T105" s="39"/>
      <c r="U105" s="40"/>
      <c r="V105" s="39"/>
      <c r="W105" s="41"/>
      <c r="X105" s="9"/>
      <c r="Y105" s="9"/>
      <c r="Z105" s="9"/>
      <c r="AA105" s="7">
        <v>9047</v>
      </c>
      <c r="AB105" s="33"/>
      <c r="AC105" s="33"/>
      <c r="AD105" s="33"/>
      <c r="AE105" s="50">
        <v>46221</v>
      </c>
      <c r="AF105" s="44"/>
      <c r="AG105" s="45"/>
      <c r="AH105" s="36"/>
      <c r="AI105" s="36"/>
    </row>
    <row r="106" spans="1:36" x14ac:dyDescent="0.3">
      <c r="A106" s="43"/>
      <c r="B106" s="13">
        <v>46040</v>
      </c>
      <c r="C106" s="61">
        <v>4236</v>
      </c>
      <c r="D106" s="30" t="s">
        <v>490</v>
      </c>
      <c r="E106" s="30"/>
      <c r="F106" s="15" t="s">
        <v>480</v>
      </c>
      <c r="G106" s="69">
        <v>46083</v>
      </c>
      <c r="H106" s="15" t="s">
        <v>251</v>
      </c>
      <c r="I106" s="29">
        <v>40845</v>
      </c>
      <c r="J106" s="29">
        <v>45910</v>
      </c>
      <c r="K106" s="29" t="s">
        <v>491</v>
      </c>
      <c r="L106" s="29" t="s">
        <v>128</v>
      </c>
      <c r="M106" s="29" t="s">
        <v>17</v>
      </c>
      <c r="N106" s="29" t="s">
        <v>233</v>
      </c>
      <c r="O106" s="32">
        <v>45292</v>
      </c>
      <c r="P106" s="14"/>
      <c r="Q106" s="37"/>
      <c r="R106" s="38"/>
      <c r="S106" s="30"/>
      <c r="T106" s="39"/>
      <c r="U106" s="40"/>
      <c r="V106" s="39"/>
      <c r="W106" s="41"/>
      <c r="X106" s="9"/>
      <c r="Y106" s="9"/>
      <c r="Z106" s="9"/>
      <c r="AA106" s="7">
        <v>451008</v>
      </c>
      <c r="AB106" s="33"/>
      <c r="AC106" s="33"/>
      <c r="AD106" s="33"/>
      <c r="AE106" s="50">
        <v>46221</v>
      </c>
      <c r="AF106" s="44"/>
      <c r="AG106" s="45"/>
      <c r="AH106" s="36"/>
      <c r="AI106" s="36"/>
    </row>
    <row r="107" spans="1:36" x14ac:dyDescent="0.3">
      <c r="A107" s="43"/>
      <c r="B107" s="13">
        <v>46040</v>
      </c>
      <c r="C107" s="61">
        <v>10021646</v>
      </c>
      <c r="D107" s="30" t="s">
        <v>605</v>
      </c>
      <c r="E107" s="30"/>
      <c r="F107" s="15" t="s">
        <v>379</v>
      </c>
      <c r="G107" s="69">
        <v>46083</v>
      </c>
      <c r="H107" s="15" t="s">
        <v>251</v>
      </c>
      <c r="I107" s="29">
        <v>45524</v>
      </c>
      <c r="J107" s="29">
        <v>45962</v>
      </c>
      <c r="K107" s="29" t="s">
        <v>224</v>
      </c>
      <c r="L107" s="29" t="s">
        <v>606</v>
      </c>
      <c r="M107" s="29" t="s">
        <v>305</v>
      </c>
      <c r="N107" s="29" t="s">
        <v>217</v>
      </c>
      <c r="O107" s="32"/>
      <c r="P107" s="14"/>
      <c r="Q107" s="37"/>
      <c r="R107" s="38"/>
      <c r="S107" s="30"/>
      <c r="T107" s="39"/>
      <c r="U107" s="40"/>
      <c r="V107" s="39"/>
      <c r="W107" s="41"/>
      <c r="X107" s="9"/>
      <c r="Y107" s="9"/>
      <c r="Z107" s="9"/>
      <c r="AA107" s="7">
        <v>47817</v>
      </c>
      <c r="AB107" s="33"/>
      <c r="AC107" s="33"/>
      <c r="AD107" s="33"/>
      <c r="AE107" s="50">
        <v>46221</v>
      </c>
      <c r="AF107" s="44"/>
      <c r="AG107" s="45"/>
      <c r="AH107" s="36"/>
      <c r="AI107" s="36"/>
    </row>
    <row r="108" spans="1:36" x14ac:dyDescent="0.3">
      <c r="A108" s="43"/>
      <c r="B108" s="13">
        <v>46040</v>
      </c>
      <c r="C108" s="61">
        <v>10022298</v>
      </c>
      <c r="D108" s="30" t="s">
        <v>626</v>
      </c>
      <c r="E108" s="30"/>
      <c r="F108" s="15" t="s">
        <v>436</v>
      </c>
      <c r="G108" s="69">
        <v>46083</v>
      </c>
      <c r="H108" s="15" t="s">
        <v>251</v>
      </c>
      <c r="I108" s="29">
        <v>45605</v>
      </c>
      <c r="J108" s="29">
        <v>45658</v>
      </c>
      <c r="K108" s="29" t="s">
        <v>211</v>
      </c>
      <c r="L108" s="29" t="s">
        <v>118</v>
      </c>
      <c r="M108" s="29" t="s">
        <v>23</v>
      </c>
      <c r="N108" s="29" t="s">
        <v>212</v>
      </c>
      <c r="O108" s="32"/>
      <c r="P108" s="14"/>
      <c r="Q108" s="37"/>
      <c r="R108" s="38"/>
      <c r="S108" s="30"/>
      <c r="T108" s="39"/>
      <c r="U108" s="40"/>
      <c r="V108" s="39"/>
      <c r="W108" s="41"/>
      <c r="X108" s="9"/>
      <c r="Y108" s="9"/>
      <c r="Z108" s="9"/>
      <c r="AA108" s="7">
        <v>7907</v>
      </c>
      <c r="AB108" s="33"/>
      <c r="AC108" s="33"/>
      <c r="AD108" s="33"/>
      <c r="AE108" s="50">
        <v>46221</v>
      </c>
      <c r="AF108" s="44"/>
      <c r="AG108" s="45"/>
      <c r="AH108" s="36"/>
      <c r="AI108" s="36"/>
    </row>
    <row r="109" spans="1:36" x14ac:dyDescent="0.3">
      <c r="A109" s="43"/>
      <c r="B109" s="13">
        <v>46070</v>
      </c>
      <c r="C109" s="61">
        <v>3319</v>
      </c>
      <c r="D109" s="30" t="s">
        <v>704</v>
      </c>
      <c r="E109" s="30"/>
      <c r="F109" s="15" t="s">
        <v>705</v>
      </c>
      <c r="G109" s="69">
        <v>46071</v>
      </c>
      <c r="H109" s="15" t="s">
        <v>251</v>
      </c>
      <c r="I109" s="29">
        <v>40506</v>
      </c>
      <c r="J109" s="29">
        <v>45931</v>
      </c>
      <c r="K109" s="29" t="s">
        <v>215</v>
      </c>
      <c r="L109" s="29" t="s">
        <v>145</v>
      </c>
      <c r="M109" s="29" t="s">
        <v>24</v>
      </c>
      <c r="N109" s="29" t="s">
        <v>223</v>
      </c>
      <c r="O109" s="32"/>
      <c r="P109" s="14"/>
      <c r="Q109" s="37"/>
      <c r="R109" s="38"/>
      <c r="S109" s="30"/>
      <c r="T109" s="39"/>
      <c r="U109" s="40"/>
      <c r="V109" s="39"/>
      <c r="W109" s="41"/>
      <c r="X109" s="9"/>
      <c r="Y109" s="9"/>
      <c r="Z109" s="9"/>
      <c r="AA109" s="7">
        <v>1676099</v>
      </c>
      <c r="AB109" s="33"/>
      <c r="AC109" s="33"/>
      <c r="AD109" s="33"/>
      <c r="AE109" s="50">
        <v>46251</v>
      </c>
      <c r="AF109" s="44"/>
      <c r="AG109" s="45"/>
      <c r="AH109" s="36"/>
      <c r="AI109" s="36" t="s">
        <v>349</v>
      </c>
    </row>
    <row r="110" spans="1:36" s="46" customFormat="1" x14ac:dyDescent="0.3">
      <c r="A110" s="43"/>
      <c r="B110" s="13">
        <v>46075</v>
      </c>
      <c r="C110" s="61">
        <v>11729</v>
      </c>
      <c r="D110" s="30" t="s">
        <v>811</v>
      </c>
      <c r="E110" s="30" t="s">
        <v>811</v>
      </c>
      <c r="F110" s="15" t="s">
        <v>746</v>
      </c>
      <c r="G110" s="69">
        <v>46083</v>
      </c>
      <c r="H110" s="15" t="s">
        <v>251</v>
      </c>
      <c r="I110" s="29">
        <v>43415</v>
      </c>
      <c r="J110" s="29">
        <v>46031</v>
      </c>
      <c r="K110" s="29" t="s">
        <v>295</v>
      </c>
      <c r="L110" s="29" t="s">
        <v>678</v>
      </c>
      <c r="M110" s="29" t="s">
        <v>30</v>
      </c>
      <c r="N110" s="29" t="s">
        <v>273</v>
      </c>
      <c r="O110" s="32">
        <v>45658</v>
      </c>
      <c r="P110" s="14"/>
      <c r="Q110" s="37"/>
      <c r="R110" s="38"/>
      <c r="S110" s="30"/>
      <c r="T110" s="39"/>
      <c r="U110" s="40"/>
      <c r="V110" s="39"/>
      <c r="W110" s="41"/>
      <c r="X110" s="9"/>
      <c r="Y110" s="9"/>
      <c r="Z110" s="9"/>
      <c r="AA110" s="7">
        <v>841957</v>
      </c>
      <c r="AB110" s="33"/>
      <c r="AC110" s="33"/>
      <c r="AD110" s="33"/>
      <c r="AE110" s="50">
        <v>46302</v>
      </c>
      <c r="AF110" s="44"/>
      <c r="AG110" s="45"/>
      <c r="AH110" s="36"/>
      <c r="AI110" s="36" t="s">
        <v>349</v>
      </c>
      <c r="AJ110" s="12"/>
    </row>
    <row r="111" spans="1:36" s="46" customFormat="1" x14ac:dyDescent="0.3">
      <c r="A111" s="43"/>
      <c r="B111" s="13">
        <v>46075</v>
      </c>
      <c r="C111" s="61">
        <v>13650</v>
      </c>
      <c r="D111" s="30" t="s">
        <v>771</v>
      </c>
      <c r="E111" s="30" t="s">
        <v>771</v>
      </c>
      <c r="F111" s="15" t="s">
        <v>709</v>
      </c>
      <c r="G111" s="69">
        <v>46079</v>
      </c>
      <c r="H111" s="15" t="s">
        <v>251</v>
      </c>
      <c r="I111" s="29">
        <v>43857</v>
      </c>
      <c r="J111" s="29">
        <v>45866</v>
      </c>
      <c r="K111" s="29" t="s">
        <v>290</v>
      </c>
      <c r="L111" s="29" t="s">
        <v>327</v>
      </c>
      <c r="M111" s="29" t="s">
        <v>328</v>
      </c>
      <c r="N111" s="29" t="s">
        <v>281</v>
      </c>
      <c r="O111" s="32"/>
      <c r="P111" s="14"/>
      <c r="Q111" s="37"/>
      <c r="R111" s="38"/>
      <c r="S111" s="30"/>
      <c r="T111" s="39"/>
      <c r="U111" s="40"/>
      <c r="V111" s="39"/>
      <c r="W111" s="41"/>
      <c r="X111" s="9"/>
      <c r="Y111" s="9"/>
      <c r="Z111" s="9"/>
      <c r="AA111" s="7">
        <v>642507</v>
      </c>
      <c r="AB111" s="33"/>
      <c r="AC111" s="33"/>
      <c r="AD111" s="33"/>
      <c r="AE111" s="50">
        <v>46259</v>
      </c>
      <c r="AF111" s="44"/>
      <c r="AG111" s="45"/>
      <c r="AH111" s="36"/>
      <c r="AI111" s="36" t="s">
        <v>349</v>
      </c>
      <c r="AJ111" s="12"/>
    </row>
    <row r="112" spans="1:36" x14ac:dyDescent="0.3">
      <c r="B112" s="13">
        <v>46040</v>
      </c>
      <c r="C112" s="61">
        <v>10022862</v>
      </c>
      <c r="D112" s="30" t="s">
        <v>641</v>
      </c>
      <c r="E112" s="30" t="s">
        <v>641</v>
      </c>
      <c r="F112" s="15" t="s">
        <v>421</v>
      </c>
      <c r="G112" s="69">
        <v>46083</v>
      </c>
      <c r="H112" s="15" t="s">
        <v>251</v>
      </c>
      <c r="I112" s="29">
        <v>45658</v>
      </c>
      <c r="J112" s="29">
        <v>45717</v>
      </c>
      <c r="K112" s="29" t="s">
        <v>219</v>
      </c>
      <c r="L112" s="29" t="s">
        <v>132</v>
      </c>
      <c r="M112" s="29" t="s">
        <v>23</v>
      </c>
      <c r="N112" s="29" t="s">
        <v>214</v>
      </c>
      <c r="O112" s="32"/>
      <c r="P112" s="14"/>
      <c r="Q112" s="37"/>
      <c r="R112" s="38"/>
      <c r="S112" s="30"/>
      <c r="T112" s="39"/>
      <c r="U112" s="40"/>
      <c r="V112" s="39"/>
      <c r="W112" s="41"/>
      <c r="X112" s="9"/>
      <c r="Y112" s="9"/>
      <c r="Z112" s="9"/>
      <c r="AA112" s="7">
        <v>10919</v>
      </c>
      <c r="AB112" s="33"/>
      <c r="AC112" s="33"/>
      <c r="AD112" s="33"/>
      <c r="AE112" s="50">
        <v>46221</v>
      </c>
      <c r="AF112" s="44"/>
      <c r="AG112" s="45"/>
      <c r="AH112" s="36"/>
      <c r="AI112" s="36" t="s">
        <v>349</v>
      </c>
    </row>
    <row r="113" spans="2:35" x14ac:dyDescent="0.3">
      <c r="B113" s="13">
        <v>46040</v>
      </c>
      <c r="C113" s="61">
        <v>10023117</v>
      </c>
      <c r="D113" s="30" t="s">
        <v>645</v>
      </c>
      <c r="E113" s="30" t="s">
        <v>645</v>
      </c>
      <c r="F113" s="15" t="s">
        <v>414</v>
      </c>
      <c r="G113" s="69">
        <v>46083</v>
      </c>
      <c r="H113" s="15" t="s">
        <v>251</v>
      </c>
      <c r="I113" s="29">
        <v>45657</v>
      </c>
      <c r="J113" s="29">
        <v>45870</v>
      </c>
      <c r="K113" s="29" t="s">
        <v>211</v>
      </c>
      <c r="L113" s="29" t="s">
        <v>646</v>
      </c>
      <c r="M113" s="29" t="s">
        <v>16</v>
      </c>
      <c r="N113" s="29" t="s">
        <v>212</v>
      </c>
      <c r="O113" s="32"/>
      <c r="P113" s="14"/>
      <c r="Q113" s="37"/>
      <c r="R113" s="38"/>
      <c r="S113" s="30"/>
      <c r="T113" s="39"/>
      <c r="U113" s="40"/>
      <c r="V113" s="39"/>
      <c r="W113" s="41"/>
      <c r="X113" s="9"/>
      <c r="Y113" s="9"/>
      <c r="Z113" s="9"/>
      <c r="AA113" s="7">
        <v>13291</v>
      </c>
      <c r="AB113" s="33"/>
      <c r="AC113" s="33"/>
      <c r="AD113" s="33"/>
      <c r="AE113" s="50">
        <v>46221</v>
      </c>
      <c r="AF113" s="44"/>
      <c r="AG113" s="45"/>
      <c r="AH113" s="36"/>
      <c r="AI113" s="36" t="s">
        <v>349</v>
      </c>
    </row>
    <row r="114" spans="2:35" x14ac:dyDescent="0.3">
      <c r="B114" s="13">
        <v>46040</v>
      </c>
      <c r="C114" s="61">
        <v>10020987</v>
      </c>
      <c r="D114" s="30" t="s">
        <v>590</v>
      </c>
      <c r="E114" s="30" t="s">
        <v>590</v>
      </c>
      <c r="F114" s="15" t="s">
        <v>380</v>
      </c>
      <c r="G114" s="69">
        <v>46083</v>
      </c>
      <c r="H114" s="15" t="s">
        <v>251</v>
      </c>
      <c r="I114" s="29">
        <v>45406</v>
      </c>
      <c r="J114" s="29">
        <v>45827</v>
      </c>
      <c r="K114" s="29" t="s">
        <v>211</v>
      </c>
      <c r="L114" s="29" t="s">
        <v>177</v>
      </c>
      <c r="M114" s="29" t="s">
        <v>24</v>
      </c>
      <c r="N114" s="29" t="s">
        <v>212</v>
      </c>
      <c r="O114" s="32"/>
      <c r="P114" s="14"/>
      <c r="Q114" s="37"/>
      <c r="R114" s="38"/>
      <c r="S114" s="30"/>
      <c r="T114" s="39"/>
      <c r="U114" s="40"/>
      <c r="V114" s="39"/>
      <c r="W114" s="41"/>
      <c r="X114" s="9"/>
      <c r="Y114" s="9"/>
      <c r="Z114" s="9"/>
      <c r="AA114" s="7">
        <v>39522</v>
      </c>
      <c r="AB114" s="33"/>
      <c r="AC114" s="33"/>
      <c r="AD114" s="33"/>
      <c r="AE114" s="50">
        <f t="shared" ref="AE114" si="0">EDATE(B114,6)</f>
        <v>46221</v>
      </c>
      <c r="AF114" s="44"/>
      <c r="AG114" s="45"/>
      <c r="AH114" s="36"/>
      <c r="AI114" s="36" t="s">
        <v>349</v>
      </c>
    </row>
    <row r="115" spans="2:35" x14ac:dyDescent="0.3">
      <c r="B115" s="13">
        <v>46040</v>
      </c>
      <c r="C115" s="61">
        <v>10020185</v>
      </c>
      <c r="D115" s="30" t="s">
        <v>569</v>
      </c>
      <c r="E115" s="30" t="s">
        <v>569</v>
      </c>
      <c r="F115" s="15" t="s">
        <v>59</v>
      </c>
      <c r="G115" s="69">
        <v>46084</v>
      </c>
      <c r="H115" s="15" t="s">
        <v>251</v>
      </c>
      <c r="I115" s="29">
        <v>45299</v>
      </c>
      <c r="J115" s="29">
        <v>45658</v>
      </c>
      <c r="K115" s="29" t="s">
        <v>219</v>
      </c>
      <c r="L115" s="29" t="s">
        <v>110</v>
      </c>
      <c r="M115" s="29" t="s">
        <v>23</v>
      </c>
      <c r="N115" s="29" t="s">
        <v>214</v>
      </c>
      <c r="O115" s="32"/>
      <c r="P115" s="14"/>
      <c r="Q115" s="37"/>
      <c r="R115" s="38"/>
      <c r="S115" s="30"/>
      <c r="T115" s="39"/>
      <c r="U115" s="40"/>
      <c r="V115" s="39"/>
      <c r="W115" s="41"/>
      <c r="X115" s="9"/>
      <c r="Y115" s="9"/>
      <c r="Z115" s="9"/>
      <c r="AA115" s="7">
        <v>9268</v>
      </c>
      <c r="AB115" s="33"/>
      <c r="AC115" s="33"/>
      <c r="AD115" s="33"/>
      <c r="AE115" s="50">
        <v>46221</v>
      </c>
      <c r="AF115" s="44"/>
      <c r="AG115" s="45"/>
      <c r="AH115" s="36"/>
      <c r="AI115" s="36" t="s">
        <v>349</v>
      </c>
    </row>
    <row r="116" spans="2:35" x14ac:dyDescent="0.3">
      <c r="B116" s="13">
        <v>46040</v>
      </c>
      <c r="C116" s="61">
        <v>10020267</v>
      </c>
      <c r="D116" s="30" t="s">
        <v>571</v>
      </c>
      <c r="E116" s="30" t="s">
        <v>571</v>
      </c>
      <c r="F116" s="15" t="s">
        <v>410</v>
      </c>
      <c r="G116" s="69">
        <v>46084</v>
      </c>
      <c r="H116" s="15" t="s">
        <v>251</v>
      </c>
      <c r="I116" s="29">
        <v>45288</v>
      </c>
      <c r="J116" s="29">
        <v>45870</v>
      </c>
      <c r="K116" s="29" t="s">
        <v>211</v>
      </c>
      <c r="L116" s="29" t="s">
        <v>572</v>
      </c>
      <c r="M116" s="29" t="s">
        <v>16</v>
      </c>
      <c r="N116" s="29" t="s">
        <v>212</v>
      </c>
      <c r="O116" s="32"/>
      <c r="P116" s="14"/>
      <c r="Q116" s="37"/>
      <c r="R116" s="38"/>
      <c r="S116" s="30"/>
      <c r="T116" s="39"/>
      <c r="U116" s="40"/>
      <c r="V116" s="39"/>
      <c r="W116" s="41"/>
      <c r="X116" s="9"/>
      <c r="Y116" s="9"/>
      <c r="Z116" s="9"/>
      <c r="AA116" s="7">
        <v>19913</v>
      </c>
      <c r="AB116" s="33"/>
      <c r="AC116" s="33"/>
      <c r="AD116" s="33"/>
      <c r="AE116" s="50">
        <v>46221</v>
      </c>
      <c r="AF116" s="44"/>
      <c r="AG116" s="45"/>
      <c r="AH116" s="36"/>
      <c r="AI116" s="36" t="s">
        <v>349</v>
      </c>
    </row>
    <row r="117" spans="2:35" x14ac:dyDescent="0.3">
      <c r="B117" s="13">
        <v>46040</v>
      </c>
      <c r="C117" s="61">
        <v>10020995</v>
      </c>
      <c r="D117" s="30" t="s">
        <v>591</v>
      </c>
      <c r="E117" s="30" t="s">
        <v>591</v>
      </c>
      <c r="F117" s="15" t="s">
        <v>377</v>
      </c>
      <c r="G117" s="69">
        <v>46084</v>
      </c>
      <c r="H117" s="15" t="s">
        <v>251</v>
      </c>
      <c r="I117" s="29">
        <v>45410</v>
      </c>
      <c r="J117" s="29">
        <v>45666</v>
      </c>
      <c r="K117" s="29" t="s">
        <v>211</v>
      </c>
      <c r="L117" s="29" t="s">
        <v>129</v>
      </c>
      <c r="M117" s="29" t="s">
        <v>23</v>
      </c>
      <c r="N117" s="29" t="s">
        <v>212</v>
      </c>
      <c r="O117" s="32"/>
      <c r="P117" s="14"/>
      <c r="Q117" s="37"/>
      <c r="R117" s="38"/>
      <c r="S117" s="30"/>
      <c r="T117" s="39"/>
      <c r="U117" s="40"/>
      <c r="V117" s="39"/>
      <c r="W117" s="41"/>
      <c r="X117" s="9"/>
      <c r="Y117" s="9"/>
      <c r="Z117" s="9"/>
      <c r="AA117" s="7">
        <v>43220</v>
      </c>
      <c r="AB117" s="33"/>
      <c r="AC117" s="33"/>
      <c r="AD117" s="33"/>
      <c r="AE117" s="50">
        <v>46221</v>
      </c>
      <c r="AF117" s="44"/>
      <c r="AG117" s="45"/>
      <c r="AH117" s="36"/>
      <c r="AI117" s="36" t="s">
        <v>349</v>
      </c>
    </row>
    <row r="118" spans="2:35" x14ac:dyDescent="0.3">
      <c r="B118" s="13">
        <v>46040</v>
      </c>
      <c r="C118" s="61">
        <v>10021370</v>
      </c>
      <c r="D118" s="30" t="s">
        <v>598</v>
      </c>
      <c r="E118" s="30" t="s">
        <v>598</v>
      </c>
      <c r="F118" s="15" t="s">
        <v>599</v>
      </c>
      <c r="G118" s="69">
        <v>46084</v>
      </c>
      <c r="H118" s="15" t="s">
        <v>251</v>
      </c>
      <c r="I118" s="29">
        <v>45471</v>
      </c>
      <c r="J118" s="29">
        <v>45809</v>
      </c>
      <c r="K118" s="29" t="s">
        <v>211</v>
      </c>
      <c r="L118" s="29" t="s">
        <v>116</v>
      </c>
      <c r="M118" s="29" t="s">
        <v>24</v>
      </c>
      <c r="N118" s="29" t="s">
        <v>212</v>
      </c>
      <c r="O118" s="32"/>
      <c r="P118" s="14"/>
      <c r="Q118" s="37"/>
      <c r="R118" s="38"/>
      <c r="S118" s="30"/>
      <c r="T118" s="39"/>
      <c r="U118" s="40"/>
      <c r="V118" s="39"/>
      <c r="W118" s="41"/>
      <c r="X118" s="9"/>
      <c r="Y118" s="9"/>
      <c r="Z118" s="9"/>
      <c r="AA118" s="7">
        <v>14709</v>
      </c>
      <c r="AB118" s="33"/>
      <c r="AC118" s="33"/>
      <c r="AD118" s="33"/>
      <c r="AE118" s="50">
        <v>46221</v>
      </c>
      <c r="AF118" s="44"/>
      <c r="AG118" s="45"/>
      <c r="AH118" s="36"/>
      <c r="AI118" s="36" t="s">
        <v>349</v>
      </c>
    </row>
    <row r="119" spans="2:35" x14ac:dyDescent="0.3">
      <c r="B119" s="13">
        <v>46040</v>
      </c>
      <c r="C119" s="61">
        <v>10021826</v>
      </c>
      <c r="D119" s="30" t="s">
        <v>615</v>
      </c>
      <c r="E119" s="30" t="s">
        <v>615</v>
      </c>
      <c r="F119" s="15" t="s">
        <v>424</v>
      </c>
      <c r="G119" s="69">
        <v>46084</v>
      </c>
      <c r="H119" s="15" t="s">
        <v>251</v>
      </c>
      <c r="I119" s="29">
        <v>45547</v>
      </c>
      <c r="J119" s="29">
        <v>45689</v>
      </c>
      <c r="K119" s="29" t="s">
        <v>211</v>
      </c>
      <c r="L119" s="29" t="s">
        <v>108</v>
      </c>
      <c r="M119" s="29" t="s">
        <v>23</v>
      </c>
      <c r="N119" s="29" t="s">
        <v>212</v>
      </c>
      <c r="O119" s="32"/>
      <c r="P119" s="14"/>
      <c r="Q119" s="37"/>
      <c r="R119" s="38"/>
      <c r="S119" s="30"/>
      <c r="T119" s="39"/>
      <c r="U119" s="40"/>
      <c r="V119" s="39"/>
      <c r="W119" s="41"/>
      <c r="X119" s="9"/>
      <c r="Y119" s="9"/>
      <c r="Z119" s="9"/>
      <c r="AA119" s="7">
        <v>9645</v>
      </c>
      <c r="AB119" s="33"/>
      <c r="AC119" s="33"/>
      <c r="AD119" s="33"/>
      <c r="AE119" s="50">
        <v>46221</v>
      </c>
      <c r="AF119" s="44"/>
      <c r="AG119" s="45"/>
      <c r="AH119" s="36"/>
      <c r="AI119" s="36" t="s">
        <v>349</v>
      </c>
    </row>
    <row r="120" spans="2:35" x14ac:dyDescent="0.3">
      <c r="B120" s="13">
        <v>46040</v>
      </c>
      <c r="C120" s="61">
        <v>10022628</v>
      </c>
      <c r="D120" s="30" t="s">
        <v>636</v>
      </c>
      <c r="E120" s="30" t="s">
        <v>636</v>
      </c>
      <c r="F120" s="15" t="s">
        <v>637</v>
      </c>
      <c r="G120" s="69">
        <v>46084</v>
      </c>
      <c r="H120" s="15" t="s">
        <v>251</v>
      </c>
      <c r="I120" s="29">
        <v>45627</v>
      </c>
      <c r="J120" s="29">
        <v>45838</v>
      </c>
      <c r="K120" s="29" t="s">
        <v>219</v>
      </c>
      <c r="L120" s="29" t="s">
        <v>132</v>
      </c>
      <c r="M120" s="29" t="s">
        <v>23</v>
      </c>
      <c r="N120" s="29" t="s">
        <v>214</v>
      </c>
      <c r="O120" s="32"/>
      <c r="P120" s="14"/>
      <c r="Q120" s="37"/>
      <c r="R120" s="38"/>
      <c r="S120" s="30"/>
      <c r="T120" s="39"/>
      <c r="U120" s="40"/>
      <c r="V120" s="39"/>
      <c r="W120" s="41"/>
      <c r="X120" s="9"/>
      <c r="Y120" s="9"/>
      <c r="Z120" s="9"/>
      <c r="AA120" s="7">
        <v>6200</v>
      </c>
      <c r="AB120" s="33"/>
      <c r="AC120" s="33"/>
      <c r="AD120" s="33"/>
      <c r="AE120" s="50">
        <v>46221</v>
      </c>
      <c r="AF120" s="44"/>
      <c r="AG120" s="45"/>
      <c r="AH120" s="36"/>
      <c r="AI120" s="36" t="s">
        <v>349</v>
      </c>
    </row>
    <row r="121" spans="2:35" x14ac:dyDescent="0.3">
      <c r="B121" s="13">
        <v>46040</v>
      </c>
      <c r="C121" s="61">
        <v>10020617</v>
      </c>
      <c r="D121" s="30" t="s">
        <v>580</v>
      </c>
      <c r="E121" s="30" t="s">
        <v>580</v>
      </c>
      <c r="F121" s="15" t="s">
        <v>437</v>
      </c>
      <c r="G121" s="69">
        <v>46085</v>
      </c>
      <c r="H121" s="15" t="s">
        <v>251</v>
      </c>
      <c r="I121" s="29">
        <v>45344</v>
      </c>
      <c r="J121" s="29">
        <v>45477</v>
      </c>
      <c r="K121" s="29" t="s">
        <v>211</v>
      </c>
      <c r="L121" s="29" t="s">
        <v>139</v>
      </c>
      <c r="M121" s="29" t="s">
        <v>23</v>
      </c>
      <c r="N121" s="29" t="s">
        <v>212</v>
      </c>
      <c r="O121" s="32"/>
      <c r="P121" s="14"/>
      <c r="Q121" s="37"/>
      <c r="R121" s="38"/>
      <c r="S121" s="30"/>
      <c r="T121" s="39"/>
      <c r="U121" s="40"/>
      <c r="V121" s="39"/>
      <c r="W121" s="41"/>
      <c r="X121" s="9"/>
      <c r="Y121" s="9"/>
      <c r="Z121" s="9"/>
      <c r="AA121" s="7">
        <v>7790</v>
      </c>
      <c r="AB121" s="33"/>
      <c r="AC121" s="33"/>
      <c r="AD121" s="33"/>
      <c r="AE121" s="50">
        <v>46221</v>
      </c>
      <c r="AF121" s="44"/>
      <c r="AG121" s="45"/>
      <c r="AH121" s="36"/>
      <c r="AI121" s="36" t="s">
        <v>349</v>
      </c>
    </row>
    <row r="122" spans="2:35" x14ac:dyDescent="0.3">
      <c r="B122" s="13">
        <v>46040</v>
      </c>
      <c r="C122" s="61">
        <v>10020864</v>
      </c>
      <c r="D122" s="30" t="s">
        <v>584</v>
      </c>
      <c r="E122" s="30" t="s">
        <v>584</v>
      </c>
      <c r="F122" s="15" t="s">
        <v>399</v>
      </c>
      <c r="G122" s="69">
        <v>46085</v>
      </c>
      <c r="H122" s="15" t="s">
        <v>251</v>
      </c>
      <c r="I122" s="29">
        <v>45383</v>
      </c>
      <c r="J122" s="29">
        <v>45627</v>
      </c>
      <c r="K122" s="29" t="s">
        <v>211</v>
      </c>
      <c r="L122" s="29" t="s">
        <v>114</v>
      </c>
      <c r="M122" s="29" t="s">
        <v>23</v>
      </c>
      <c r="N122" s="29" t="s">
        <v>212</v>
      </c>
      <c r="O122" s="32"/>
      <c r="P122" s="14"/>
      <c r="Q122" s="37"/>
      <c r="R122" s="38"/>
      <c r="S122" s="30"/>
      <c r="T122" s="39"/>
      <c r="U122" s="40"/>
      <c r="V122" s="39"/>
      <c r="W122" s="41"/>
      <c r="X122" s="9"/>
      <c r="Y122" s="9"/>
      <c r="Z122" s="9"/>
      <c r="AA122" s="7">
        <v>21971</v>
      </c>
      <c r="AB122" s="33"/>
      <c r="AC122" s="33"/>
      <c r="AD122" s="33"/>
      <c r="AE122" s="50">
        <v>46221</v>
      </c>
      <c r="AF122" s="44"/>
      <c r="AG122" s="45"/>
      <c r="AH122" s="36"/>
      <c r="AI122" s="36" t="s">
        <v>349</v>
      </c>
    </row>
    <row r="123" spans="2:35" x14ac:dyDescent="0.3">
      <c r="B123" s="13">
        <v>46040</v>
      </c>
      <c r="C123" s="61">
        <v>10020955</v>
      </c>
      <c r="D123" s="30" t="s">
        <v>587</v>
      </c>
      <c r="E123" s="30" t="s">
        <v>587</v>
      </c>
      <c r="F123" s="15" t="s">
        <v>1329</v>
      </c>
      <c r="G123" s="69">
        <v>46085</v>
      </c>
      <c r="H123" s="15" t="s">
        <v>251</v>
      </c>
      <c r="I123" s="29">
        <v>45410</v>
      </c>
      <c r="J123" s="29">
        <v>45809</v>
      </c>
      <c r="K123" s="29" t="s">
        <v>211</v>
      </c>
      <c r="L123" s="29" t="s">
        <v>119</v>
      </c>
      <c r="M123" s="29" t="s">
        <v>23</v>
      </c>
      <c r="N123" s="29" t="s">
        <v>212</v>
      </c>
      <c r="O123" s="32"/>
      <c r="P123" s="14"/>
      <c r="Q123" s="37"/>
      <c r="R123" s="38"/>
      <c r="S123" s="30"/>
      <c r="T123" s="39"/>
      <c r="U123" s="40"/>
      <c r="V123" s="39"/>
      <c r="W123" s="41"/>
      <c r="X123" s="9"/>
      <c r="Y123" s="9"/>
      <c r="Z123" s="9"/>
      <c r="AA123" s="7">
        <v>26525</v>
      </c>
      <c r="AB123" s="33"/>
      <c r="AC123" s="33"/>
      <c r="AD123" s="33"/>
      <c r="AE123" s="50">
        <v>46221</v>
      </c>
      <c r="AF123" s="44"/>
      <c r="AG123" s="45"/>
      <c r="AH123" s="36"/>
      <c r="AI123" s="36" t="s">
        <v>349</v>
      </c>
    </row>
    <row r="124" spans="2:35" x14ac:dyDescent="0.3">
      <c r="B124" s="13">
        <v>46040</v>
      </c>
      <c r="C124" s="61">
        <v>10021777</v>
      </c>
      <c r="D124" s="30" t="s">
        <v>611</v>
      </c>
      <c r="E124" s="30" t="s">
        <v>611</v>
      </c>
      <c r="F124" s="15" t="s">
        <v>406</v>
      </c>
      <c r="G124" s="69">
        <v>46085</v>
      </c>
      <c r="H124" s="15" t="s">
        <v>251</v>
      </c>
      <c r="I124" s="29">
        <v>45538</v>
      </c>
      <c r="J124" s="29">
        <v>45708</v>
      </c>
      <c r="K124" s="29" t="s">
        <v>211</v>
      </c>
      <c r="L124" s="29" t="s">
        <v>67</v>
      </c>
      <c r="M124" s="29" t="s">
        <v>24</v>
      </c>
      <c r="N124" s="29" t="s">
        <v>212</v>
      </c>
      <c r="O124" s="32"/>
      <c r="P124" s="14"/>
      <c r="Q124" s="37"/>
      <c r="R124" s="38"/>
      <c r="S124" s="30"/>
      <c r="T124" s="39"/>
      <c r="U124" s="40"/>
      <c r="V124" s="39"/>
      <c r="W124" s="41"/>
      <c r="X124" s="9"/>
      <c r="Y124" s="9"/>
      <c r="Z124" s="9"/>
      <c r="AA124" s="7">
        <v>17570</v>
      </c>
      <c r="AB124" s="33"/>
      <c r="AC124" s="33"/>
      <c r="AD124" s="33"/>
      <c r="AE124" s="50">
        <v>46221</v>
      </c>
      <c r="AF124" s="44"/>
      <c r="AG124" s="45"/>
      <c r="AH124" s="36"/>
      <c r="AI124" s="36" t="s">
        <v>349</v>
      </c>
    </row>
    <row r="125" spans="2:35" x14ac:dyDescent="0.3">
      <c r="B125" s="13">
        <v>46040</v>
      </c>
      <c r="C125" s="61">
        <v>10021971</v>
      </c>
      <c r="D125" s="30" t="s">
        <v>619</v>
      </c>
      <c r="E125" s="30" t="s">
        <v>619</v>
      </c>
      <c r="F125" s="15" t="s">
        <v>419</v>
      </c>
      <c r="G125" s="69">
        <v>46085</v>
      </c>
      <c r="H125" s="15" t="s">
        <v>251</v>
      </c>
      <c r="I125" s="29">
        <v>45566</v>
      </c>
      <c r="J125" s="29">
        <v>45901</v>
      </c>
      <c r="K125" s="29" t="s">
        <v>211</v>
      </c>
      <c r="L125" s="29" t="s">
        <v>197</v>
      </c>
      <c r="M125" s="29" t="s">
        <v>23</v>
      </c>
      <c r="N125" s="29" t="s">
        <v>212</v>
      </c>
      <c r="O125" s="32"/>
      <c r="P125" s="14"/>
      <c r="Q125" s="37"/>
      <c r="R125" s="38"/>
      <c r="S125" s="30"/>
      <c r="T125" s="39"/>
      <c r="U125" s="40"/>
      <c r="V125" s="39"/>
      <c r="W125" s="41"/>
      <c r="X125" s="9"/>
      <c r="Y125" s="9"/>
      <c r="Z125" s="9"/>
      <c r="AA125" s="7">
        <v>12002</v>
      </c>
      <c r="AB125" s="33"/>
      <c r="AC125" s="33"/>
      <c r="AD125" s="33"/>
      <c r="AE125" s="50">
        <v>46221</v>
      </c>
      <c r="AF125" s="44"/>
      <c r="AG125" s="45"/>
      <c r="AH125" s="36"/>
      <c r="AI125" s="36" t="s">
        <v>349</v>
      </c>
    </row>
    <row r="126" spans="2:35" x14ac:dyDescent="0.3">
      <c r="B126" s="13">
        <v>46040</v>
      </c>
      <c r="C126" s="61">
        <v>10022169</v>
      </c>
      <c r="D126" s="30" t="s">
        <v>621</v>
      </c>
      <c r="E126" s="30" t="s">
        <v>621</v>
      </c>
      <c r="F126" s="15" t="s">
        <v>417</v>
      </c>
      <c r="G126" s="69">
        <v>46085</v>
      </c>
      <c r="H126" s="15" t="s">
        <v>251</v>
      </c>
      <c r="I126" s="29">
        <v>45591</v>
      </c>
      <c r="J126" s="29">
        <v>45691</v>
      </c>
      <c r="K126" s="29" t="s">
        <v>211</v>
      </c>
      <c r="L126" s="29" t="s">
        <v>177</v>
      </c>
      <c r="M126" s="29" t="s">
        <v>24</v>
      </c>
      <c r="N126" s="29" t="s">
        <v>212</v>
      </c>
      <c r="O126" s="32"/>
      <c r="P126" s="14"/>
      <c r="Q126" s="37"/>
      <c r="R126" s="38"/>
      <c r="S126" s="30"/>
      <c r="T126" s="39"/>
      <c r="U126" s="40"/>
      <c r="V126" s="39"/>
      <c r="W126" s="41"/>
      <c r="X126" s="9"/>
      <c r="Y126" s="9"/>
      <c r="Z126" s="9"/>
      <c r="AA126" s="7">
        <v>12181</v>
      </c>
      <c r="AB126" s="33"/>
      <c r="AC126" s="33"/>
      <c r="AD126" s="33"/>
      <c r="AE126" s="50">
        <v>46221</v>
      </c>
      <c r="AF126" s="44"/>
      <c r="AG126" s="45"/>
      <c r="AH126" s="36"/>
      <c r="AI126" s="36" t="s">
        <v>349</v>
      </c>
    </row>
    <row r="127" spans="2:35" x14ac:dyDescent="0.3">
      <c r="B127" s="13">
        <v>46040</v>
      </c>
      <c r="C127" s="61">
        <v>10022348</v>
      </c>
      <c r="D127" s="30" t="s">
        <v>627</v>
      </c>
      <c r="E127" s="30" t="s">
        <v>627</v>
      </c>
      <c r="F127" s="15" t="s">
        <v>457</v>
      </c>
      <c r="G127" s="69">
        <v>46085</v>
      </c>
      <c r="H127" s="15" t="s">
        <v>251</v>
      </c>
      <c r="I127" s="29">
        <v>45609</v>
      </c>
      <c r="J127" s="29">
        <v>45931</v>
      </c>
      <c r="K127" s="29" t="s">
        <v>211</v>
      </c>
      <c r="L127" s="29" t="s">
        <v>101</v>
      </c>
      <c r="M127" s="29" t="s">
        <v>23</v>
      </c>
      <c r="N127" s="29" t="s">
        <v>212</v>
      </c>
      <c r="O127" s="32"/>
      <c r="P127" s="14"/>
      <c r="Q127" s="37"/>
      <c r="R127" s="38"/>
      <c r="S127" s="30"/>
      <c r="T127" s="39"/>
      <c r="U127" s="40"/>
      <c r="V127" s="39"/>
      <c r="W127" s="41"/>
      <c r="X127" s="9"/>
      <c r="Y127" s="9"/>
      <c r="Z127" s="9"/>
      <c r="AA127" s="7">
        <v>36780</v>
      </c>
      <c r="AB127" s="33"/>
      <c r="AC127" s="33"/>
      <c r="AD127" s="33"/>
      <c r="AE127" s="50">
        <v>46221</v>
      </c>
      <c r="AF127" s="44"/>
      <c r="AG127" s="45"/>
      <c r="AH127" s="36"/>
      <c r="AI127" s="36" t="s">
        <v>349</v>
      </c>
    </row>
    <row r="128" spans="2:35" x14ac:dyDescent="0.3">
      <c r="B128" s="13">
        <v>46040</v>
      </c>
      <c r="C128" s="61">
        <v>10019106</v>
      </c>
      <c r="D128" s="30" t="s">
        <v>556</v>
      </c>
      <c r="E128" s="30" t="s">
        <v>556</v>
      </c>
      <c r="F128" s="15" t="s">
        <v>384</v>
      </c>
      <c r="G128" s="69">
        <v>46086</v>
      </c>
      <c r="H128" s="15" t="s">
        <v>251</v>
      </c>
      <c r="I128" s="29">
        <v>45113</v>
      </c>
      <c r="J128" s="29">
        <v>45838</v>
      </c>
      <c r="K128" s="29" t="s">
        <v>211</v>
      </c>
      <c r="L128" s="29" t="s">
        <v>189</v>
      </c>
      <c r="M128" s="29" t="s">
        <v>23</v>
      </c>
      <c r="N128" s="29" t="s">
        <v>212</v>
      </c>
      <c r="O128" s="32"/>
      <c r="P128" s="14"/>
      <c r="Q128" s="37"/>
      <c r="R128" s="38"/>
      <c r="S128" s="30"/>
      <c r="T128" s="39"/>
      <c r="U128" s="40"/>
      <c r="V128" s="39"/>
      <c r="W128" s="41"/>
      <c r="X128" s="9"/>
      <c r="Y128" s="9"/>
      <c r="Z128" s="9"/>
      <c r="AA128" s="7">
        <v>45808</v>
      </c>
      <c r="AB128" s="33"/>
      <c r="AC128" s="33"/>
      <c r="AD128" s="33"/>
      <c r="AE128" s="50">
        <v>46221</v>
      </c>
      <c r="AF128" s="44"/>
      <c r="AG128" s="45"/>
      <c r="AH128" s="36"/>
      <c r="AI128" s="36" t="s">
        <v>349</v>
      </c>
    </row>
    <row r="129" spans="2:35" x14ac:dyDescent="0.3">
      <c r="B129" s="13">
        <v>46040</v>
      </c>
      <c r="C129" s="61">
        <v>10021521</v>
      </c>
      <c r="D129" s="30" t="s">
        <v>603</v>
      </c>
      <c r="E129" s="30" t="s">
        <v>603</v>
      </c>
      <c r="F129" s="15" t="s">
        <v>397</v>
      </c>
      <c r="G129" s="69">
        <v>46086</v>
      </c>
      <c r="H129" s="15" t="s">
        <v>251</v>
      </c>
      <c r="I129" s="29">
        <v>45500</v>
      </c>
      <c r="J129" s="29">
        <v>45870</v>
      </c>
      <c r="K129" s="29" t="s">
        <v>211</v>
      </c>
      <c r="L129" s="29" t="s">
        <v>152</v>
      </c>
      <c r="M129" s="29" t="s">
        <v>23</v>
      </c>
      <c r="N129" s="29" t="s">
        <v>212</v>
      </c>
      <c r="O129" s="32"/>
      <c r="P129" s="14"/>
      <c r="Q129" s="37"/>
      <c r="R129" s="38"/>
      <c r="S129" s="30"/>
      <c r="T129" s="39"/>
      <c r="U129" s="40"/>
      <c r="V129" s="39"/>
      <c r="W129" s="41"/>
      <c r="X129" s="9"/>
      <c r="Y129" s="9"/>
      <c r="Z129" s="9"/>
      <c r="AA129" s="7">
        <v>28034</v>
      </c>
      <c r="AB129" s="33"/>
      <c r="AC129" s="33"/>
      <c r="AD129" s="33"/>
      <c r="AE129" s="50">
        <v>46221</v>
      </c>
      <c r="AF129" s="44"/>
      <c r="AG129" s="45"/>
      <c r="AH129" s="36"/>
      <c r="AI129" s="36" t="s">
        <v>349</v>
      </c>
    </row>
    <row r="130" spans="2:35" x14ac:dyDescent="0.3">
      <c r="B130" s="13">
        <v>46055</v>
      </c>
      <c r="C130" s="61">
        <v>10019454</v>
      </c>
      <c r="D130" s="30" t="s">
        <v>777</v>
      </c>
      <c r="E130" s="30" t="s">
        <v>777</v>
      </c>
      <c r="F130" s="15" t="s">
        <v>716</v>
      </c>
      <c r="G130" s="69">
        <v>46086</v>
      </c>
      <c r="H130" s="15" t="s">
        <v>251</v>
      </c>
      <c r="I130" s="29">
        <v>45173</v>
      </c>
      <c r="J130" s="29">
        <v>45989</v>
      </c>
      <c r="K130" s="29" t="s">
        <v>224</v>
      </c>
      <c r="L130" s="29" t="s">
        <v>276</v>
      </c>
      <c r="M130" s="29" t="s">
        <v>26</v>
      </c>
      <c r="N130" s="29" t="s">
        <v>217</v>
      </c>
      <c r="O130" s="32"/>
      <c r="P130" s="14"/>
      <c r="Q130" s="37"/>
      <c r="R130" s="38"/>
      <c r="S130" s="30"/>
      <c r="T130" s="39"/>
      <c r="U130" s="40"/>
      <c r="V130" s="39"/>
      <c r="W130" s="41"/>
      <c r="X130" s="9"/>
      <c r="Y130" s="9"/>
      <c r="Z130" s="9"/>
      <c r="AA130" s="7">
        <v>77245</v>
      </c>
      <c r="AB130" s="33"/>
      <c r="AC130" s="33"/>
      <c r="AD130" s="33"/>
      <c r="AE130" s="50">
        <v>46265</v>
      </c>
      <c r="AF130" s="44"/>
      <c r="AG130" s="45"/>
      <c r="AH130" s="36"/>
      <c r="AI130" s="36" t="s">
        <v>349</v>
      </c>
    </row>
    <row r="131" spans="2:35" x14ac:dyDescent="0.3">
      <c r="B131" s="13">
        <v>46055</v>
      </c>
      <c r="C131" s="61">
        <v>10021953</v>
      </c>
      <c r="D131" s="30" t="s">
        <v>803</v>
      </c>
      <c r="E131" s="30" t="s">
        <v>803</v>
      </c>
      <c r="F131" s="15" t="s">
        <v>738</v>
      </c>
      <c r="G131" s="69">
        <v>46086</v>
      </c>
      <c r="H131" s="15" t="s">
        <v>251</v>
      </c>
      <c r="I131" s="29">
        <v>45566</v>
      </c>
      <c r="J131" s="29">
        <v>45717</v>
      </c>
      <c r="K131" s="29" t="s">
        <v>211</v>
      </c>
      <c r="L131" s="29" t="s">
        <v>132</v>
      </c>
      <c r="M131" s="29" t="s">
        <v>23</v>
      </c>
      <c r="N131" s="29" t="s">
        <v>212</v>
      </c>
      <c r="O131" s="32"/>
      <c r="P131" s="14"/>
      <c r="Q131" s="37"/>
      <c r="R131" s="38"/>
      <c r="S131" s="30"/>
      <c r="T131" s="39"/>
      <c r="U131" s="40"/>
      <c r="V131" s="39"/>
      <c r="W131" s="41"/>
      <c r="X131" s="9"/>
      <c r="Y131" s="9"/>
      <c r="Z131" s="9"/>
      <c r="AA131" s="7">
        <v>7224</v>
      </c>
      <c r="AB131" s="33"/>
      <c r="AC131" s="33"/>
      <c r="AD131" s="33"/>
      <c r="AE131" s="50">
        <v>46291</v>
      </c>
      <c r="AF131" s="44"/>
      <c r="AG131" s="45"/>
      <c r="AH131" s="36"/>
      <c r="AI131" s="36" t="s">
        <v>349</v>
      </c>
    </row>
    <row r="132" spans="2:35" x14ac:dyDescent="0.3">
      <c r="B132" s="13">
        <v>46075</v>
      </c>
      <c r="C132" s="61">
        <v>10017637</v>
      </c>
      <c r="D132" s="30" t="s">
        <v>812</v>
      </c>
      <c r="E132" s="30" t="s">
        <v>812</v>
      </c>
      <c r="F132" s="15" t="s">
        <v>747</v>
      </c>
      <c r="G132" s="69">
        <v>46086</v>
      </c>
      <c r="H132" s="15" t="s">
        <v>251</v>
      </c>
      <c r="I132" s="29">
        <v>44830</v>
      </c>
      <c r="J132" s="29">
        <v>45989</v>
      </c>
      <c r="K132" s="29" t="s">
        <v>304</v>
      </c>
      <c r="L132" s="29" t="s">
        <v>770</v>
      </c>
      <c r="M132" s="29" t="s">
        <v>26</v>
      </c>
      <c r="N132" s="29" t="s">
        <v>223</v>
      </c>
      <c r="O132" s="32">
        <v>45658</v>
      </c>
      <c r="P132" s="14"/>
      <c r="Q132" s="37"/>
      <c r="R132" s="38"/>
      <c r="S132" s="30"/>
      <c r="T132" s="39"/>
      <c r="U132" s="40"/>
      <c r="V132" s="39"/>
      <c r="W132" s="41"/>
      <c r="X132" s="9"/>
      <c r="Y132" s="9"/>
      <c r="Z132" s="9"/>
      <c r="AA132" s="7">
        <v>171289</v>
      </c>
      <c r="AB132" s="33"/>
      <c r="AC132" s="33"/>
      <c r="AD132" s="33"/>
      <c r="AE132" s="50">
        <v>46303</v>
      </c>
      <c r="AF132" s="44"/>
      <c r="AG132" s="45"/>
      <c r="AH132" s="36"/>
      <c r="AI132" s="36" t="s">
        <v>349</v>
      </c>
    </row>
    <row r="133" spans="2:35" x14ac:dyDescent="0.3">
      <c r="B133" s="13">
        <v>46075</v>
      </c>
      <c r="C133" s="61">
        <v>10023560</v>
      </c>
      <c r="D133" s="30" t="s">
        <v>829</v>
      </c>
      <c r="E133" s="30" t="s">
        <v>829</v>
      </c>
      <c r="F133" s="15" t="s">
        <v>760</v>
      </c>
      <c r="G133" s="69">
        <v>46086</v>
      </c>
      <c r="H133" s="15" t="s">
        <v>251</v>
      </c>
      <c r="I133" s="29">
        <v>45760</v>
      </c>
      <c r="J133" s="29">
        <v>45844</v>
      </c>
      <c r="K133" s="29" t="s">
        <v>211</v>
      </c>
      <c r="L133" s="29" t="s">
        <v>145</v>
      </c>
      <c r="M133" s="29" t="s">
        <v>24</v>
      </c>
      <c r="N133" s="29" t="s">
        <v>212</v>
      </c>
      <c r="O133" s="32"/>
      <c r="P133" s="14"/>
      <c r="Q133" s="37"/>
      <c r="R133" s="38"/>
      <c r="S133" s="30"/>
      <c r="T133" s="39"/>
      <c r="U133" s="40"/>
      <c r="V133" s="39"/>
      <c r="W133" s="41"/>
      <c r="X133" s="9"/>
      <c r="Y133" s="9"/>
      <c r="Z133" s="9"/>
      <c r="AA133" s="7">
        <v>8705</v>
      </c>
      <c r="AB133" s="33"/>
      <c r="AC133" s="33"/>
      <c r="AD133" s="33"/>
      <c r="AE133" s="50">
        <v>46316</v>
      </c>
      <c r="AF133" s="44"/>
      <c r="AG133" s="45"/>
      <c r="AH133" s="36"/>
      <c r="AI133" s="36" t="s">
        <v>349</v>
      </c>
    </row>
    <row r="134" spans="2:35" x14ac:dyDescent="0.3">
      <c r="B134" s="13">
        <v>46075</v>
      </c>
      <c r="C134" s="61">
        <v>10020388</v>
      </c>
      <c r="D134" s="30" t="s">
        <v>831</v>
      </c>
      <c r="E134" s="30" t="s">
        <v>831</v>
      </c>
      <c r="F134" s="15" t="s">
        <v>762</v>
      </c>
      <c r="G134" s="69">
        <v>46086</v>
      </c>
      <c r="H134" s="15" t="s">
        <v>251</v>
      </c>
      <c r="I134" s="29">
        <v>45323</v>
      </c>
      <c r="J134" s="29">
        <v>45918</v>
      </c>
      <c r="K134" s="29" t="s">
        <v>318</v>
      </c>
      <c r="L134" s="29" t="s">
        <v>279</v>
      </c>
      <c r="M134" s="29" t="s">
        <v>26</v>
      </c>
      <c r="N134" s="29" t="s">
        <v>335</v>
      </c>
      <c r="O134" s="32"/>
      <c r="P134" s="14"/>
      <c r="Q134" s="37"/>
      <c r="R134" s="38"/>
      <c r="S134" s="30"/>
      <c r="T134" s="39"/>
      <c r="U134" s="40"/>
      <c r="V134" s="39"/>
      <c r="W134" s="41"/>
      <c r="X134" s="9"/>
      <c r="Y134" s="9"/>
      <c r="Z134" s="9"/>
      <c r="AA134" s="7">
        <v>20596</v>
      </c>
      <c r="AB134" s="33"/>
      <c r="AC134" s="33"/>
      <c r="AD134" s="33"/>
      <c r="AE134" s="50">
        <v>46318</v>
      </c>
      <c r="AF134" s="44"/>
      <c r="AG134" s="45"/>
      <c r="AH134" s="36"/>
      <c r="AI134" s="36" t="s">
        <v>349</v>
      </c>
    </row>
    <row r="135" spans="2:35" x14ac:dyDescent="0.3">
      <c r="B135" s="13">
        <v>46075</v>
      </c>
      <c r="C135" s="61">
        <v>3245</v>
      </c>
      <c r="D135" s="30" t="s">
        <v>283</v>
      </c>
      <c r="E135" s="30" t="s">
        <v>283</v>
      </c>
      <c r="F135" s="15" t="s">
        <v>86</v>
      </c>
      <c r="G135" s="69">
        <v>46086</v>
      </c>
      <c r="H135" s="15" t="s">
        <v>251</v>
      </c>
      <c r="I135" s="29">
        <v>40450</v>
      </c>
      <c r="J135" s="29">
        <v>45931</v>
      </c>
      <c r="K135" s="29" t="s">
        <v>215</v>
      </c>
      <c r="L135" s="29" t="s">
        <v>643</v>
      </c>
      <c r="M135" s="29" t="s">
        <v>23</v>
      </c>
      <c r="N135" s="29" t="s">
        <v>223</v>
      </c>
      <c r="O135" s="32"/>
      <c r="P135" s="14"/>
      <c r="Q135" s="37"/>
      <c r="R135" s="38"/>
      <c r="S135" s="30"/>
      <c r="T135" s="39"/>
      <c r="U135" s="40"/>
      <c r="V135" s="39"/>
      <c r="W135" s="41"/>
      <c r="X135" s="9"/>
      <c r="Y135" s="9"/>
      <c r="Z135" s="9"/>
      <c r="AA135" s="7">
        <v>1530205</v>
      </c>
      <c r="AB135" s="33"/>
      <c r="AC135" s="33"/>
      <c r="AD135" s="33"/>
      <c r="AE135" s="50">
        <v>46323</v>
      </c>
      <c r="AF135" s="44"/>
      <c r="AG135" s="45"/>
      <c r="AH135" s="36"/>
      <c r="AI135" s="36" t="s">
        <v>349</v>
      </c>
    </row>
    <row r="136" spans="2:35" x14ac:dyDescent="0.3">
      <c r="B136" s="13">
        <v>46040</v>
      </c>
      <c r="C136" s="61">
        <v>10019521</v>
      </c>
      <c r="D136" s="30" t="s">
        <v>564</v>
      </c>
      <c r="E136" s="30" t="s">
        <v>564</v>
      </c>
      <c r="F136" s="15" t="s">
        <v>35</v>
      </c>
      <c r="G136" s="69">
        <v>46089</v>
      </c>
      <c r="H136" s="15" t="s">
        <v>251</v>
      </c>
      <c r="I136" s="29">
        <v>45182</v>
      </c>
      <c r="J136" s="29">
        <v>45808</v>
      </c>
      <c r="K136" s="29" t="s">
        <v>211</v>
      </c>
      <c r="L136" s="29" t="s">
        <v>167</v>
      </c>
      <c r="M136" s="29" t="s">
        <v>24</v>
      </c>
      <c r="N136" s="29" t="s">
        <v>212</v>
      </c>
      <c r="O136" s="32"/>
      <c r="P136" s="14"/>
      <c r="Q136" s="37"/>
      <c r="R136" s="38"/>
      <c r="S136" s="30"/>
      <c r="T136" s="39"/>
      <c r="U136" s="40"/>
      <c r="V136" s="39"/>
      <c r="W136" s="41"/>
      <c r="X136" s="9"/>
      <c r="Y136" s="9"/>
      <c r="Z136" s="9"/>
      <c r="AA136" s="7">
        <v>39007</v>
      </c>
      <c r="AB136" s="33"/>
      <c r="AC136" s="33"/>
      <c r="AD136" s="33"/>
      <c r="AE136" s="50">
        <v>46221</v>
      </c>
      <c r="AF136" s="44"/>
      <c r="AG136" s="45"/>
      <c r="AH136" s="36"/>
      <c r="AI136" s="36" t="s">
        <v>349</v>
      </c>
    </row>
    <row r="137" spans="2:35" x14ac:dyDescent="0.3">
      <c r="B137" s="13">
        <v>46040</v>
      </c>
      <c r="C137" s="61">
        <v>10021306</v>
      </c>
      <c r="D137" s="30" t="s">
        <v>597</v>
      </c>
      <c r="E137" s="30" t="s">
        <v>597</v>
      </c>
      <c r="F137" s="15" t="s">
        <v>428</v>
      </c>
      <c r="G137" s="69">
        <v>46089</v>
      </c>
      <c r="H137" s="15" t="s">
        <v>251</v>
      </c>
      <c r="I137" s="29">
        <v>45453</v>
      </c>
      <c r="J137" s="29">
        <v>45869</v>
      </c>
      <c r="K137" s="29" t="s">
        <v>220</v>
      </c>
      <c r="L137" s="29" t="s">
        <v>107</v>
      </c>
      <c r="M137" s="29" t="s">
        <v>17</v>
      </c>
      <c r="N137" s="29" t="s">
        <v>221</v>
      </c>
      <c r="O137" s="32"/>
      <c r="P137" s="14"/>
      <c r="Q137" s="37"/>
      <c r="R137" s="38"/>
      <c r="S137" s="30"/>
      <c r="T137" s="39"/>
      <c r="U137" s="40"/>
      <c r="V137" s="39"/>
      <c r="W137" s="41"/>
      <c r="X137" s="9"/>
      <c r="Y137" s="9"/>
      <c r="Z137" s="9"/>
      <c r="AA137" s="7">
        <v>12977</v>
      </c>
      <c r="AB137" s="33"/>
      <c r="AC137" s="33"/>
      <c r="AD137" s="33"/>
      <c r="AE137" s="50">
        <v>46221</v>
      </c>
      <c r="AF137" s="44"/>
      <c r="AG137" s="45"/>
      <c r="AH137" s="36"/>
      <c r="AI137" s="36" t="s">
        <v>349</v>
      </c>
    </row>
    <row r="138" spans="2:35" x14ac:dyDescent="0.3">
      <c r="B138" s="13">
        <v>46040</v>
      </c>
      <c r="C138" s="61">
        <v>10023324</v>
      </c>
      <c r="D138" s="30" t="s">
        <v>651</v>
      </c>
      <c r="E138" s="30" t="s">
        <v>651</v>
      </c>
      <c r="F138" s="15" t="s">
        <v>652</v>
      </c>
      <c r="G138" s="69">
        <v>46089</v>
      </c>
      <c r="H138" s="15" t="s">
        <v>251</v>
      </c>
      <c r="I138" s="29">
        <v>45719</v>
      </c>
      <c r="J138" s="29">
        <v>45900</v>
      </c>
      <c r="K138" s="29" t="s">
        <v>236</v>
      </c>
      <c r="L138" s="29" t="s">
        <v>197</v>
      </c>
      <c r="M138" s="29" t="s">
        <v>23</v>
      </c>
      <c r="N138" s="29" t="s">
        <v>212</v>
      </c>
      <c r="O138" s="32"/>
      <c r="P138" s="14"/>
      <c r="Q138" s="37"/>
      <c r="R138" s="38"/>
      <c r="S138" s="30"/>
      <c r="T138" s="39"/>
      <c r="U138" s="40"/>
      <c r="V138" s="39"/>
      <c r="W138" s="41"/>
      <c r="X138" s="9"/>
      <c r="Y138" s="9"/>
      <c r="Z138" s="9"/>
      <c r="AA138" s="7">
        <v>10575</v>
      </c>
      <c r="AB138" s="33"/>
      <c r="AC138" s="33"/>
      <c r="AD138" s="33"/>
      <c r="AE138" s="50">
        <v>46221</v>
      </c>
      <c r="AF138" s="44"/>
      <c r="AG138" s="45"/>
      <c r="AH138" s="36"/>
      <c r="AI138" s="36" t="s">
        <v>349</v>
      </c>
    </row>
    <row r="139" spans="2:35" x14ac:dyDescent="0.3">
      <c r="B139" s="13">
        <v>46040</v>
      </c>
      <c r="C139" s="61">
        <v>10023465</v>
      </c>
      <c r="D139" s="30" t="s">
        <v>655</v>
      </c>
      <c r="E139" s="30" t="s">
        <v>655</v>
      </c>
      <c r="F139" s="15" t="s">
        <v>430</v>
      </c>
      <c r="G139" s="69">
        <v>46089</v>
      </c>
      <c r="H139" s="15" t="s">
        <v>251</v>
      </c>
      <c r="I139" s="29">
        <v>45753</v>
      </c>
      <c r="J139" s="29">
        <v>45900</v>
      </c>
      <c r="K139" s="29" t="s">
        <v>236</v>
      </c>
      <c r="L139" s="29" t="s">
        <v>197</v>
      </c>
      <c r="M139" s="29" t="s">
        <v>23</v>
      </c>
      <c r="N139" s="29" t="s">
        <v>212</v>
      </c>
      <c r="O139" s="32"/>
      <c r="P139" s="14"/>
      <c r="Q139" s="37"/>
      <c r="R139" s="38"/>
      <c r="S139" s="30"/>
      <c r="T139" s="39"/>
      <c r="U139" s="40"/>
      <c r="V139" s="39"/>
      <c r="W139" s="41"/>
      <c r="X139" s="9"/>
      <c r="Y139" s="9"/>
      <c r="Z139" s="9"/>
      <c r="AA139" s="7">
        <v>9120</v>
      </c>
      <c r="AB139" s="33"/>
      <c r="AC139" s="33"/>
      <c r="AD139" s="33"/>
      <c r="AE139" s="50">
        <v>46221</v>
      </c>
      <c r="AF139" s="44"/>
      <c r="AG139" s="45"/>
      <c r="AH139" s="36"/>
      <c r="AI139" s="36" t="s">
        <v>349</v>
      </c>
    </row>
    <row r="140" spans="2:35" x14ac:dyDescent="0.3">
      <c r="B140" s="13">
        <v>46040</v>
      </c>
      <c r="C140" s="61">
        <v>10023565</v>
      </c>
      <c r="D140" s="30" t="s">
        <v>656</v>
      </c>
      <c r="E140" s="30" t="s">
        <v>656</v>
      </c>
      <c r="F140" s="15" t="s">
        <v>657</v>
      </c>
      <c r="G140" s="69">
        <v>46089</v>
      </c>
      <c r="H140" s="15" t="s">
        <v>251</v>
      </c>
      <c r="I140" s="29">
        <v>45767</v>
      </c>
      <c r="J140" s="29">
        <v>45870</v>
      </c>
      <c r="K140" s="29" t="s">
        <v>211</v>
      </c>
      <c r="L140" s="29" t="s">
        <v>118</v>
      </c>
      <c r="M140" s="29" t="s">
        <v>23</v>
      </c>
      <c r="N140" s="29" t="s">
        <v>212</v>
      </c>
      <c r="O140" s="32"/>
      <c r="P140" s="14"/>
      <c r="Q140" s="37"/>
      <c r="R140" s="38"/>
      <c r="S140" s="30"/>
      <c r="T140" s="39"/>
      <c r="U140" s="40"/>
      <c r="V140" s="39"/>
      <c r="W140" s="41"/>
      <c r="X140" s="9"/>
      <c r="Y140" s="9"/>
      <c r="Z140" s="9"/>
      <c r="AA140" s="7">
        <v>7439</v>
      </c>
      <c r="AB140" s="33"/>
      <c r="AC140" s="33"/>
      <c r="AD140" s="33"/>
      <c r="AE140" s="50">
        <v>46221</v>
      </c>
      <c r="AF140" s="44"/>
      <c r="AG140" s="45"/>
      <c r="AH140" s="36"/>
      <c r="AI140" s="36" t="s">
        <v>349</v>
      </c>
    </row>
    <row r="141" spans="2:35" x14ac:dyDescent="0.3">
      <c r="B141" s="13">
        <v>46055</v>
      </c>
      <c r="C141" s="61">
        <v>15990</v>
      </c>
      <c r="D141" s="30" t="s">
        <v>775</v>
      </c>
      <c r="E141" s="30" t="s">
        <v>776</v>
      </c>
      <c r="F141" s="15" t="s">
        <v>446</v>
      </c>
      <c r="G141" s="69">
        <v>46089</v>
      </c>
      <c r="H141" s="15" t="s">
        <v>251</v>
      </c>
      <c r="I141" s="29">
        <v>44475</v>
      </c>
      <c r="J141" s="29">
        <v>45870</v>
      </c>
      <c r="K141" s="29" t="s">
        <v>219</v>
      </c>
      <c r="L141" s="29" t="s">
        <v>137</v>
      </c>
      <c r="M141" s="29" t="s">
        <v>23</v>
      </c>
      <c r="N141" s="29" t="s">
        <v>214</v>
      </c>
      <c r="O141" s="32">
        <v>45292</v>
      </c>
      <c r="P141" s="14"/>
      <c r="Q141" s="37"/>
      <c r="R141" s="38"/>
      <c r="S141" s="30"/>
      <c r="T141" s="39"/>
      <c r="U141" s="40"/>
      <c r="V141" s="39"/>
      <c r="W141" s="41"/>
      <c r="X141" s="9"/>
      <c r="Y141" s="9"/>
      <c r="Z141" s="9"/>
      <c r="AA141" s="7">
        <v>116478</v>
      </c>
      <c r="AB141" s="33"/>
      <c r="AC141" s="33"/>
      <c r="AD141" s="33"/>
      <c r="AE141" s="50">
        <v>46264</v>
      </c>
      <c r="AF141" s="44"/>
      <c r="AG141" s="45"/>
      <c r="AH141" s="36"/>
      <c r="AI141" s="36" t="s">
        <v>349</v>
      </c>
    </row>
    <row r="142" spans="2:35" x14ac:dyDescent="0.3">
      <c r="B142" s="13">
        <v>46055</v>
      </c>
      <c r="C142" s="61">
        <v>10022452</v>
      </c>
      <c r="D142" s="30" t="s">
        <v>778</v>
      </c>
      <c r="E142" s="30" t="s">
        <v>778</v>
      </c>
      <c r="F142" s="15" t="s">
        <v>717</v>
      </c>
      <c r="G142" s="69">
        <v>46089</v>
      </c>
      <c r="H142" s="15" t="s">
        <v>251</v>
      </c>
      <c r="I142" s="29">
        <v>45629</v>
      </c>
      <c r="J142" s="29">
        <v>45931</v>
      </c>
      <c r="K142" s="29" t="s">
        <v>211</v>
      </c>
      <c r="L142" s="29" t="s">
        <v>152</v>
      </c>
      <c r="M142" s="29" t="s">
        <v>23</v>
      </c>
      <c r="N142" s="29" t="s">
        <v>212</v>
      </c>
      <c r="O142" s="32"/>
      <c r="P142" s="14"/>
      <c r="Q142" s="37"/>
      <c r="R142" s="38"/>
      <c r="S142" s="30"/>
      <c r="T142" s="39"/>
      <c r="U142" s="40"/>
      <c r="V142" s="39"/>
      <c r="W142" s="41"/>
      <c r="X142" s="9"/>
      <c r="Y142" s="9"/>
      <c r="Z142" s="9"/>
      <c r="AA142" s="7">
        <v>47517</v>
      </c>
      <c r="AB142" s="33"/>
      <c r="AC142" s="33"/>
      <c r="AD142" s="33"/>
      <c r="AE142" s="50">
        <v>46266</v>
      </c>
      <c r="AF142" s="44"/>
      <c r="AG142" s="45"/>
      <c r="AH142" s="36"/>
      <c r="AI142" s="36" t="s">
        <v>349</v>
      </c>
    </row>
    <row r="143" spans="2:35" x14ac:dyDescent="0.3">
      <c r="B143" s="13">
        <v>46055</v>
      </c>
      <c r="C143" s="61">
        <v>10019783</v>
      </c>
      <c r="D143" s="30" t="s">
        <v>781</v>
      </c>
      <c r="E143" s="30" t="s">
        <v>781</v>
      </c>
      <c r="F143" s="15" t="s">
        <v>719</v>
      </c>
      <c r="G143" s="69">
        <v>46089</v>
      </c>
      <c r="H143" s="15" t="s">
        <v>251</v>
      </c>
      <c r="I143" s="29">
        <v>45215</v>
      </c>
      <c r="J143" s="29">
        <v>45974</v>
      </c>
      <c r="K143" s="29" t="s">
        <v>344</v>
      </c>
      <c r="L143" s="29" t="s">
        <v>104</v>
      </c>
      <c r="M143" s="29" t="s">
        <v>260</v>
      </c>
      <c r="N143" s="29" t="s">
        <v>221</v>
      </c>
      <c r="O143" s="32"/>
      <c r="P143" s="14"/>
      <c r="Q143" s="37"/>
      <c r="R143" s="38"/>
      <c r="S143" s="30"/>
      <c r="T143" s="39"/>
      <c r="U143" s="40"/>
      <c r="V143" s="39"/>
      <c r="W143" s="41"/>
      <c r="X143" s="9"/>
      <c r="Y143" s="9"/>
      <c r="Z143" s="9"/>
      <c r="AA143" s="7">
        <v>51717</v>
      </c>
      <c r="AB143" s="33"/>
      <c r="AC143" s="33"/>
      <c r="AD143" s="33"/>
      <c r="AE143" s="50">
        <v>46268</v>
      </c>
      <c r="AF143" s="44"/>
      <c r="AG143" s="45"/>
      <c r="AH143" s="36"/>
      <c r="AI143" s="36" t="s">
        <v>349</v>
      </c>
    </row>
    <row r="144" spans="2:35" x14ac:dyDescent="0.3">
      <c r="B144" s="13">
        <v>46055</v>
      </c>
      <c r="C144" s="61">
        <v>10019949</v>
      </c>
      <c r="D144" s="30" t="s">
        <v>782</v>
      </c>
      <c r="E144" s="30" t="s">
        <v>782</v>
      </c>
      <c r="F144" s="15" t="s">
        <v>39</v>
      </c>
      <c r="G144" s="69">
        <v>46089</v>
      </c>
      <c r="H144" s="15" t="s">
        <v>251</v>
      </c>
      <c r="I144" s="29">
        <v>45261</v>
      </c>
      <c r="J144" s="29">
        <v>45778</v>
      </c>
      <c r="K144" s="29" t="s">
        <v>211</v>
      </c>
      <c r="L144" s="29" t="s">
        <v>181</v>
      </c>
      <c r="M144" s="29" t="s">
        <v>23</v>
      </c>
      <c r="N144" s="29" t="s">
        <v>212</v>
      </c>
      <c r="O144" s="32"/>
      <c r="P144" s="14"/>
      <c r="Q144" s="37"/>
      <c r="R144" s="38"/>
      <c r="S144" s="30"/>
      <c r="T144" s="39"/>
      <c r="U144" s="40"/>
      <c r="V144" s="39"/>
      <c r="W144" s="41"/>
      <c r="X144" s="9"/>
      <c r="Y144" s="9"/>
      <c r="Z144" s="9"/>
      <c r="AA144" s="7">
        <v>42748</v>
      </c>
      <c r="AB144" s="33"/>
      <c r="AC144" s="33"/>
      <c r="AD144" s="33"/>
      <c r="AE144" s="50">
        <v>46269</v>
      </c>
      <c r="AF144" s="44"/>
      <c r="AG144" s="45"/>
      <c r="AH144" s="36"/>
      <c r="AI144" s="36" t="s">
        <v>349</v>
      </c>
    </row>
    <row r="145" spans="2:35" x14ac:dyDescent="0.3">
      <c r="B145" s="13">
        <v>46075</v>
      </c>
      <c r="C145" s="61">
        <v>10020910</v>
      </c>
      <c r="D145" s="30" t="s">
        <v>820</v>
      </c>
      <c r="E145" s="30" t="s">
        <v>820</v>
      </c>
      <c r="F145" s="15" t="s">
        <v>752</v>
      </c>
      <c r="G145" s="69">
        <v>46089</v>
      </c>
      <c r="H145" s="15" t="s">
        <v>251</v>
      </c>
      <c r="I145" s="29">
        <v>45383</v>
      </c>
      <c r="J145" s="29">
        <v>45901</v>
      </c>
      <c r="K145" s="29" t="s">
        <v>219</v>
      </c>
      <c r="L145" s="29" t="s">
        <v>196</v>
      </c>
      <c r="M145" s="29" t="s">
        <v>16</v>
      </c>
      <c r="N145" s="29" t="s">
        <v>214</v>
      </c>
      <c r="O145" s="32"/>
      <c r="P145" s="14"/>
      <c r="Q145" s="37"/>
      <c r="R145" s="38"/>
      <c r="S145" s="30"/>
      <c r="T145" s="39"/>
      <c r="U145" s="40"/>
      <c r="V145" s="39"/>
      <c r="W145" s="41"/>
      <c r="X145" s="9"/>
      <c r="Y145" s="9"/>
      <c r="Z145" s="9"/>
      <c r="AA145" s="7">
        <v>40693</v>
      </c>
      <c r="AB145" s="33"/>
      <c r="AC145" s="33"/>
      <c r="AD145" s="33"/>
      <c r="AE145" s="50">
        <v>46308</v>
      </c>
      <c r="AF145" s="44"/>
      <c r="AG145" s="45"/>
      <c r="AH145" s="36"/>
      <c r="AI145" s="36" t="s">
        <v>349</v>
      </c>
    </row>
    <row r="146" spans="2:35" x14ac:dyDescent="0.3">
      <c r="B146" s="13">
        <v>46075</v>
      </c>
      <c r="C146" s="61">
        <v>12340</v>
      </c>
      <c r="D146" s="30" t="s">
        <v>838</v>
      </c>
      <c r="E146" s="30" t="s">
        <v>839</v>
      </c>
      <c r="F146" s="15" t="s">
        <v>766</v>
      </c>
      <c r="G146" s="69">
        <v>46089</v>
      </c>
      <c r="H146" s="15" t="s">
        <v>251</v>
      </c>
      <c r="I146" s="29">
        <v>43526</v>
      </c>
      <c r="J146" s="29">
        <v>45778</v>
      </c>
      <c r="K146" s="29" t="s">
        <v>219</v>
      </c>
      <c r="L146" s="29" t="s">
        <v>168</v>
      </c>
      <c r="M146" s="29" t="s">
        <v>23</v>
      </c>
      <c r="N146" s="29" t="s">
        <v>214</v>
      </c>
      <c r="O146" s="32"/>
      <c r="P146" s="14"/>
      <c r="Q146" s="37"/>
      <c r="R146" s="38"/>
      <c r="S146" s="30"/>
      <c r="T146" s="39"/>
      <c r="U146" s="40"/>
      <c r="V146" s="39"/>
      <c r="W146" s="41"/>
      <c r="X146" s="9"/>
      <c r="Y146" s="9"/>
      <c r="Z146" s="9"/>
      <c r="AA146" s="7">
        <v>201991</v>
      </c>
      <c r="AB146" s="33"/>
      <c r="AC146" s="33"/>
      <c r="AD146" s="33"/>
      <c r="AE146" s="50">
        <v>46325</v>
      </c>
      <c r="AF146" s="44"/>
      <c r="AG146" s="45"/>
      <c r="AH146" s="36"/>
      <c r="AI146" s="36" t="s">
        <v>349</v>
      </c>
    </row>
    <row r="147" spans="2:35" x14ac:dyDescent="0.3">
      <c r="B147" s="13">
        <v>46040</v>
      </c>
      <c r="C147" s="61">
        <v>14468</v>
      </c>
      <c r="D147" s="30" t="s">
        <v>516</v>
      </c>
      <c r="E147" s="30" t="s">
        <v>516</v>
      </c>
      <c r="F147" s="15" t="s">
        <v>44</v>
      </c>
      <c r="G147" s="69">
        <v>46090</v>
      </c>
      <c r="H147" s="15" t="s">
        <v>251</v>
      </c>
      <c r="I147" s="15"/>
      <c r="J147" s="29">
        <v>44115</v>
      </c>
      <c r="K147" s="29">
        <v>45767</v>
      </c>
      <c r="L147" s="29" t="s">
        <v>219</v>
      </c>
      <c r="M147" s="29" t="s">
        <v>286</v>
      </c>
      <c r="N147" s="29" t="s">
        <v>24</v>
      </c>
      <c r="O147" s="29" t="s">
        <v>214</v>
      </c>
      <c r="P147" s="32"/>
      <c r="Q147" s="14"/>
      <c r="R147" s="37"/>
      <c r="S147" s="38"/>
      <c r="T147" s="30"/>
      <c r="U147" s="39"/>
      <c r="V147" s="40"/>
      <c r="W147" s="39"/>
      <c r="X147" s="41"/>
      <c r="Y147" s="9"/>
      <c r="Z147" s="9"/>
      <c r="AA147" s="9"/>
      <c r="AB147" s="7">
        <v>225739</v>
      </c>
      <c r="AC147" s="33"/>
      <c r="AD147" s="33"/>
      <c r="AE147" s="33"/>
      <c r="AF147" s="50">
        <v>46221</v>
      </c>
      <c r="AG147" s="45"/>
      <c r="AH147" s="36"/>
      <c r="AI147" s="36" t="s">
        <v>349</v>
      </c>
    </row>
    <row r="148" spans="2:35" x14ac:dyDescent="0.3">
      <c r="B148" s="13">
        <v>46040</v>
      </c>
      <c r="C148" s="61">
        <v>10017668</v>
      </c>
      <c r="D148" s="30" t="s">
        <v>537</v>
      </c>
      <c r="E148" s="30" t="s">
        <v>537</v>
      </c>
      <c r="F148" s="15" t="s">
        <v>440</v>
      </c>
      <c r="G148" s="69">
        <v>46090</v>
      </c>
      <c r="H148" s="15" t="s">
        <v>251</v>
      </c>
      <c r="I148" s="15"/>
      <c r="J148" s="29">
        <v>44835</v>
      </c>
      <c r="K148" s="29">
        <v>45870</v>
      </c>
      <c r="L148" s="29" t="s">
        <v>219</v>
      </c>
      <c r="M148" s="29" t="s">
        <v>181</v>
      </c>
      <c r="N148" s="29" t="s">
        <v>23</v>
      </c>
      <c r="O148" s="29" t="s">
        <v>214</v>
      </c>
      <c r="P148" s="32">
        <v>45292</v>
      </c>
      <c r="Q148" s="14"/>
      <c r="R148" s="37"/>
      <c r="S148" s="38"/>
      <c r="T148" s="30"/>
      <c r="U148" s="39"/>
      <c r="V148" s="40"/>
      <c r="W148" s="39"/>
      <c r="X148" s="41"/>
      <c r="Y148" s="9"/>
      <c r="Z148" s="9"/>
      <c r="AA148" s="9"/>
      <c r="AB148" s="7">
        <v>59239</v>
      </c>
      <c r="AC148" s="33"/>
      <c r="AD148" s="33"/>
      <c r="AE148" s="33"/>
      <c r="AF148" s="50">
        <v>46221</v>
      </c>
      <c r="AG148" s="45"/>
      <c r="AH148" s="36"/>
      <c r="AI148" s="36" t="s">
        <v>349</v>
      </c>
    </row>
    <row r="149" spans="2:35" x14ac:dyDescent="0.3">
      <c r="B149" s="13">
        <v>46040</v>
      </c>
      <c r="C149" s="61">
        <v>10020317</v>
      </c>
      <c r="D149" s="30" t="s">
        <v>573</v>
      </c>
      <c r="E149" s="30" t="s">
        <v>573</v>
      </c>
      <c r="F149" s="15" t="s">
        <v>298</v>
      </c>
      <c r="G149" s="69">
        <v>46090</v>
      </c>
      <c r="H149" s="15" t="s">
        <v>251</v>
      </c>
      <c r="I149" s="15"/>
      <c r="J149" s="29">
        <v>45311</v>
      </c>
      <c r="K149" s="29">
        <v>45931</v>
      </c>
      <c r="L149" s="29" t="s">
        <v>211</v>
      </c>
      <c r="M149" s="29" t="s">
        <v>161</v>
      </c>
      <c r="N149" s="29" t="s">
        <v>23</v>
      </c>
      <c r="O149" s="29" t="s">
        <v>212</v>
      </c>
      <c r="P149" s="32"/>
      <c r="Q149" s="14"/>
      <c r="R149" s="37"/>
      <c r="S149" s="38"/>
      <c r="T149" s="30"/>
      <c r="U149" s="39"/>
      <c r="V149" s="40"/>
      <c r="W149" s="39"/>
      <c r="X149" s="41"/>
      <c r="Y149" s="9"/>
      <c r="Z149" s="9"/>
      <c r="AA149" s="9"/>
      <c r="AB149" s="7">
        <v>45170</v>
      </c>
      <c r="AC149" s="33"/>
      <c r="AD149" s="33"/>
      <c r="AE149" s="33"/>
      <c r="AF149" s="50">
        <v>46221</v>
      </c>
      <c r="AG149" s="45"/>
      <c r="AH149" s="36"/>
      <c r="AI149" s="36" t="s">
        <v>349</v>
      </c>
    </row>
    <row r="150" spans="2:35" x14ac:dyDescent="0.3">
      <c r="B150" s="13">
        <v>46040</v>
      </c>
      <c r="C150" s="61">
        <v>10021026</v>
      </c>
      <c r="D150" s="30" t="s">
        <v>592</v>
      </c>
      <c r="E150" s="30" t="s">
        <v>592</v>
      </c>
      <c r="F150" s="15" t="s">
        <v>425</v>
      </c>
      <c r="G150" s="69">
        <v>46090</v>
      </c>
      <c r="H150" s="15" t="s">
        <v>251</v>
      </c>
      <c r="I150" s="15"/>
      <c r="J150" s="29">
        <v>45420</v>
      </c>
      <c r="K150" s="29">
        <v>45691</v>
      </c>
      <c r="L150" s="29" t="s">
        <v>211</v>
      </c>
      <c r="M150" s="29" t="s">
        <v>142</v>
      </c>
      <c r="N150" s="29" t="s">
        <v>23</v>
      </c>
      <c r="O150" s="29" t="s">
        <v>212</v>
      </c>
      <c r="P150" s="32"/>
      <c r="Q150" s="14"/>
      <c r="R150" s="37"/>
      <c r="S150" s="38"/>
      <c r="T150" s="30"/>
      <c r="U150" s="39"/>
      <c r="V150" s="40"/>
      <c r="W150" s="39"/>
      <c r="X150" s="41"/>
      <c r="Y150" s="9"/>
      <c r="Z150" s="9"/>
      <c r="AA150" s="9"/>
      <c r="AB150" s="7">
        <v>9544</v>
      </c>
      <c r="AC150" s="33"/>
      <c r="AD150" s="33"/>
      <c r="AE150" s="33"/>
      <c r="AF150" s="50">
        <v>46221</v>
      </c>
      <c r="AG150" s="45"/>
      <c r="AH150" s="36"/>
      <c r="AI150" s="36" t="s">
        <v>349</v>
      </c>
    </row>
    <row r="151" spans="2:35" x14ac:dyDescent="0.3">
      <c r="B151" s="13">
        <v>46040</v>
      </c>
      <c r="C151" s="61">
        <v>10021918</v>
      </c>
      <c r="D151" s="30" t="s">
        <v>618</v>
      </c>
      <c r="E151" s="30" t="s">
        <v>618</v>
      </c>
      <c r="F151" s="15" t="s">
        <v>392</v>
      </c>
      <c r="G151" s="69">
        <v>46090</v>
      </c>
      <c r="H151" s="15" t="s">
        <v>251</v>
      </c>
      <c r="I151" s="15"/>
      <c r="J151" s="29">
        <v>45567</v>
      </c>
      <c r="K151" s="29">
        <v>45931</v>
      </c>
      <c r="L151" s="29" t="s">
        <v>224</v>
      </c>
      <c r="M151" s="29" t="s">
        <v>104</v>
      </c>
      <c r="N151" s="29" t="s">
        <v>21</v>
      </c>
      <c r="O151" s="29" t="s">
        <v>217</v>
      </c>
      <c r="P151" s="32"/>
      <c r="Q151" s="14"/>
      <c r="R151" s="37"/>
      <c r="S151" s="38"/>
      <c r="T151" s="30"/>
      <c r="U151" s="39"/>
      <c r="V151" s="40"/>
      <c r="W151" s="39"/>
      <c r="X151" s="41"/>
      <c r="Y151" s="9"/>
      <c r="Z151" s="9"/>
      <c r="AA151" s="9"/>
      <c r="AB151" s="7">
        <v>35293</v>
      </c>
      <c r="AC151" s="33"/>
      <c r="AD151" s="33"/>
      <c r="AE151" s="33"/>
      <c r="AF151" s="50">
        <v>46221</v>
      </c>
      <c r="AG151" s="45"/>
      <c r="AH151" s="36"/>
      <c r="AI151" s="36" t="s">
        <v>349</v>
      </c>
    </row>
    <row r="152" spans="2:35" x14ac:dyDescent="0.3">
      <c r="B152" s="13">
        <v>46040</v>
      </c>
      <c r="C152" s="61">
        <v>30017042</v>
      </c>
      <c r="D152" s="30" t="s">
        <v>660</v>
      </c>
      <c r="E152" s="30" t="s">
        <v>660</v>
      </c>
      <c r="F152" s="15" t="s">
        <v>439</v>
      </c>
      <c r="G152" s="69">
        <v>46090</v>
      </c>
      <c r="H152" s="15" t="s">
        <v>251</v>
      </c>
      <c r="I152" s="15"/>
      <c r="J152" s="29">
        <v>45545</v>
      </c>
      <c r="K152" s="29">
        <v>45883</v>
      </c>
      <c r="L152" s="29" t="s">
        <v>235</v>
      </c>
      <c r="M152" s="29" t="s">
        <v>661</v>
      </c>
      <c r="N152" s="29" t="s">
        <v>31</v>
      </c>
      <c r="O152" s="29" t="s">
        <v>336</v>
      </c>
      <c r="P152" s="32"/>
      <c r="Q152" s="14"/>
      <c r="R152" s="37"/>
      <c r="S152" s="38"/>
      <c r="T152" s="30"/>
      <c r="U152" s="39"/>
      <c r="V152" s="40"/>
      <c r="W152" s="39"/>
      <c r="X152" s="41"/>
      <c r="Y152" s="9"/>
      <c r="Z152" s="9"/>
      <c r="AA152" s="9"/>
      <c r="AB152" s="7">
        <v>6946</v>
      </c>
      <c r="AC152" s="33"/>
      <c r="AD152" s="33"/>
      <c r="AE152" s="33"/>
      <c r="AF152" s="50">
        <v>46221</v>
      </c>
      <c r="AG152" s="45"/>
      <c r="AH152" s="36"/>
      <c r="AI152" s="36" t="s">
        <v>349</v>
      </c>
    </row>
    <row r="153" spans="2:35" x14ac:dyDescent="0.3">
      <c r="B153" s="13">
        <v>46055</v>
      </c>
      <c r="C153" s="61">
        <v>5211</v>
      </c>
      <c r="D153" s="30" t="s">
        <v>772</v>
      </c>
      <c r="E153" s="30" t="s">
        <v>772</v>
      </c>
      <c r="F153" s="15" t="s">
        <v>306</v>
      </c>
      <c r="G153" s="69">
        <v>46090</v>
      </c>
      <c r="H153" s="15" t="s">
        <v>251</v>
      </c>
      <c r="I153" s="15"/>
      <c r="J153" s="29">
        <v>41275</v>
      </c>
      <c r="K153" s="29">
        <v>45969</v>
      </c>
      <c r="L153" s="29" t="s">
        <v>290</v>
      </c>
      <c r="M153" s="29" t="s">
        <v>104</v>
      </c>
      <c r="N153" s="29" t="s">
        <v>21</v>
      </c>
      <c r="O153" s="29" t="s">
        <v>281</v>
      </c>
      <c r="P153" s="32">
        <v>44927</v>
      </c>
      <c r="Q153" s="14"/>
      <c r="R153" s="37"/>
      <c r="S153" s="38"/>
      <c r="T153" s="30"/>
      <c r="U153" s="39"/>
      <c r="V153" s="40"/>
      <c r="W153" s="39"/>
      <c r="X153" s="41"/>
      <c r="Y153" s="9"/>
      <c r="Z153" s="9"/>
      <c r="AA153" s="9"/>
      <c r="AB153" s="7">
        <v>1969824</v>
      </c>
      <c r="AC153" s="33"/>
      <c r="AD153" s="33"/>
      <c r="AE153" s="33"/>
      <c r="AF153" s="50">
        <v>46261</v>
      </c>
      <c r="AG153" s="45"/>
      <c r="AH153" s="36"/>
      <c r="AI153" s="36" t="s">
        <v>349</v>
      </c>
    </row>
    <row r="154" spans="2:35" x14ac:dyDescent="0.3">
      <c r="B154" s="13">
        <v>46055</v>
      </c>
      <c r="C154" s="61">
        <v>10018937</v>
      </c>
      <c r="D154" s="30" t="s">
        <v>791</v>
      </c>
      <c r="E154" s="30" t="s">
        <v>791</v>
      </c>
      <c r="F154" s="15" t="s">
        <v>727</v>
      </c>
      <c r="G154" s="69">
        <v>46090</v>
      </c>
      <c r="H154" s="15" t="s">
        <v>251</v>
      </c>
      <c r="I154" s="15"/>
      <c r="J154" s="29">
        <v>45078</v>
      </c>
      <c r="K154" s="29">
        <v>45536</v>
      </c>
      <c r="L154" s="29" t="s">
        <v>219</v>
      </c>
      <c r="M154" s="29" t="s">
        <v>108</v>
      </c>
      <c r="N154" s="29" t="s">
        <v>23</v>
      </c>
      <c r="O154" s="29" t="s">
        <v>214</v>
      </c>
      <c r="P154" s="32"/>
      <c r="Q154" s="14"/>
      <c r="R154" s="37"/>
      <c r="S154" s="38"/>
      <c r="T154" s="30"/>
      <c r="U154" s="39"/>
      <c r="V154" s="40"/>
      <c r="W154" s="39"/>
      <c r="X154" s="41"/>
      <c r="Y154" s="9"/>
      <c r="Z154" s="9"/>
      <c r="AA154" s="9"/>
      <c r="AB154" s="7">
        <v>34226</v>
      </c>
      <c r="AC154" s="33"/>
      <c r="AD154" s="33"/>
      <c r="AE154" s="33"/>
      <c r="AF154" s="50">
        <v>46277</v>
      </c>
      <c r="AG154" s="45"/>
      <c r="AH154" s="36"/>
      <c r="AI154" s="36" t="s">
        <v>349</v>
      </c>
    </row>
    <row r="155" spans="2:35" x14ac:dyDescent="0.3">
      <c r="B155" s="13">
        <v>46075</v>
      </c>
      <c r="C155" s="61">
        <v>15834</v>
      </c>
      <c r="D155" s="30">
        <v>8801718528336</v>
      </c>
      <c r="E155" s="30" t="s">
        <v>810</v>
      </c>
      <c r="F155" s="15" t="s">
        <v>745</v>
      </c>
      <c r="G155" s="69">
        <v>46090</v>
      </c>
      <c r="H155" s="15" t="s">
        <v>251</v>
      </c>
      <c r="I155" s="15"/>
      <c r="J155" s="29">
        <v>44443</v>
      </c>
      <c r="K155" s="29">
        <v>45809</v>
      </c>
      <c r="L155" s="29" t="s">
        <v>219</v>
      </c>
      <c r="M155" s="29" t="s">
        <v>145</v>
      </c>
      <c r="N155" s="29" t="s">
        <v>24</v>
      </c>
      <c r="O155" s="29" t="s">
        <v>214</v>
      </c>
      <c r="P155" s="32"/>
      <c r="Q155" s="14"/>
      <c r="R155" s="37"/>
      <c r="S155" s="38"/>
      <c r="T155" s="30"/>
      <c r="U155" s="39"/>
      <c r="V155" s="40"/>
      <c r="W155" s="39"/>
      <c r="X155" s="41"/>
      <c r="Y155" s="9"/>
      <c r="Z155" s="9"/>
      <c r="AA155" s="9"/>
      <c r="AB155" s="7">
        <v>90837</v>
      </c>
      <c r="AC155" s="33"/>
      <c r="AD155" s="33"/>
      <c r="AE155" s="33"/>
      <c r="AF155" s="50">
        <v>46301</v>
      </c>
      <c r="AG155" s="45"/>
      <c r="AH155" s="36"/>
      <c r="AI155" s="36" t="s">
        <v>349</v>
      </c>
    </row>
    <row r="156" spans="2:35" x14ac:dyDescent="0.3">
      <c r="B156" s="13">
        <v>46040</v>
      </c>
      <c r="C156" s="61">
        <v>10022560</v>
      </c>
      <c r="D156" s="30" t="s">
        <v>632</v>
      </c>
      <c r="E156" s="30" t="s">
        <v>632</v>
      </c>
      <c r="F156" s="15" t="s">
        <v>633</v>
      </c>
      <c r="G156" s="69">
        <v>46091</v>
      </c>
      <c r="H156" s="15" t="s">
        <v>251</v>
      </c>
      <c r="I156" s="15"/>
      <c r="J156" s="29">
        <v>45644</v>
      </c>
      <c r="K156" s="29">
        <v>45901</v>
      </c>
      <c r="L156" s="29" t="s">
        <v>236</v>
      </c>
      <c r="M156" s="29" t="s">
        <v>132</v>
      </c>
      <c r="N156" s="29" t="s">
        <v>23</v>
      </c>
      <c r="O156" s="29" t="s">
        <v>212</v>
      </c>
      <c r="P156" s="32"/>
      <c r="Q156" s="14"/>
      <c r="R156" s="37"/>
      <c r="S156" s="38"/>
      <c r="T156" s="30"/>
      <c r="U156" s="39"/>
      <c r="V156" s="40"/>
      <c r="W156" s="39"/>
      <c r="X156" s="41"/>
      <c r="Y156" s="9"/>
      <c r="Z156" s="9"/>
      <c r="AA156" s="9"/>
      <c r="AB156" s="7">
        <v>8437</v>
      </c>
      <c r="AC156" s="33"/>
      <c r="AD156" s="33"/>
      <c r="AE156" s="33"/>
      <c r="AF156" s="50">
        <v>46221</v>
      </c>
      <c r="AG156" s="45"/>
      <c r="AH156" s="36"/>
      <c r="AI156" s="36" t="s">
        <v>349</v>
      </c>
    </row>
    <row r="157" spans="2:35" x14ac:dyDescent="0.3">
      <c r="B157" s="13">
        <v>46040</v>
      </c>
      <c r="C157" s="61">
        <v>10022952</v>
      </c>
      <c r="D157" s="30" t="s">
        <v>642</v>
      </c>
      <c r="E157" s="30" t="s">
        <v>642</v>
      </c>
      <c r="F157" s="15" t="s">
        <v>427</v>
      </c>
      <c r="G157" s="69">
        <v>46091</v>
      </c>
      <c r="H157" s="15" t="s">
        <v>251</v>
      </c>
      <c r="I157" s="15"/>
      <c r="J157" s="29">
        <v>45673</v>
      </c>
      <c r="K157" s="29">
        <v>45870</v>
      </c>
      <c r="L157" s="29" t="s">
        <v>219</v>
      </c>
      <c r="M157" s="29" t="s">
        <v>643</v>
      </c>
      <c r="N157" s="29" t="s">
        <v>23</v>
      </c>
      <c r="O157" s="29" t="s">
        <v>214</v>
      </c>
      <c r="P157" s="32"/>
      <c r="Q157" s="14"/>
      <c r="R157" s="37"/>
      <c r="S157" s="38"/>
      <c r="T157" s="30"/>
      <c r="U157" s="39"/>
      <c r="V157" s="40"/>
      <c r="W157" s="39"/>
      <c r="X157" s="41"/>
      <c r="Y157" s="9"/>
      <c r="Z157" s="9"/>
      <c r="AA157" s="9"/>
      <c r="AB157" s="7">
        <v>9319</v>
      </c>
      <c r="AC157" s="33"/>
      <c r="AD157" s="33"/>
      <c r="AE157" s="33"/>
      <c r="AF157" s="50">
        <v>46221</v>
      </c>
      <c r="AG157" s="45"/>
      <c r="AH157" s="36"/>
      <c r="AI157" s="36" t="s">
        <v>349</v>
      </c>
    </row>
    <row r="158" spans="2:35" x14ac:dyDescent="0.3">
      <c r="B158" s="13">
        <v>46040</v>
      </c>
      <c r="C158" s="61">
        <v>10023181</v>
      </c>
      <c r="D158" s="30" t="s">
        <v>649</v>
      </c>
      <c r="E158" s="30" t="s">
        <v>649</v>
      </c>
      <c r="F158" s="15" t="s">
        <v>423</v>
      </c>
      <c r="G158" s="69">
        <v>46091</v>
      </c>
      <c r="H158" s="15" t="s">
        <v>251</v>
      </c>
      <c r="I158" s="15"/>
      <c r="J158" s="29">
        <v>45689</v>
      </c>
      <c r="K158" s="29">
        <v>45870</v>
      </c>
      <c r="L158" s="29" t="s">
        <v>211</v>
      </c>
      <c r="M158" s="29" t="s">
        <v>135</v>
      </c>
      <c r="N158" s="29" t="s">
        <v>16</v>
      </c>
      <c r="O158" s="29" t="s">
        <v>212</v>
      </c>
      <c r="P158" s="32"/>
      <c r="Q158" s="14"/>
      <c r="R158" s="37"/>
      <c r="S158" s="38"/>
      <c r="T158" s="30"/>
      <c r="U158" s="39"/>
      <c r="V158" s="40"/>
      <c r="W158" s="39"/>
      <c r="X158" s="41"/>
      <c r="Y158" s="9"/>
      <c r="Z158" s="9"/>
      <c r="AA158" s="9"/>
      <c r="AB158" s="7">
        <v>10391</v>
      </c>
      <c r="AC158" s="33"/>
      <c r="AD158" s="33"/>
      <c r="AE158" s="33"/>
      <c r="AF158" s="50">
        <v>46221</v>
      </c>
      <c r="AG158" s="45"/>
      <c r="AH158" s="36"/>
      <c r="AI158" s="36" t="s">
        <v>349</v>
      </c>
    </row>
    <row r="159" spans="2:35" x14ac:dyDescent="0.3">
      <c r="B159" s="13">
        <v>46055</v>
      </c>
      <c r="C159" s="61">
        <v>10460</v>
      </c>
      <c r="D159" s="30" t="s">
        <v>773</v>
      </c>
      <c r="E159" s="30" t="s">
        <v>773</v>
      </c>
      <c r="F159" s="15" t="s">
        <v>316</v>
      </c>
      <c r="G159" s="69">
        <v>46091</v>
      </c>
      <c r="H159" s="15" t="s">
        <v>251</v>
      </c>
      <c r="I159" s="15"/>
      <c r="J159" s="29">
        <v>43096</v>
      </c>
      <c r="K159" s="29">
        <v>45859</v>
      </c>
      <c r="L159" s="29" t="s">
        <v>219</v>
      </c>
      <c r="M159" s="29" t="s">
        <v>286</v>
      </c>
      <c r="N159" s="29" t="s">
        <v>24</v>
      </c>
      <c r="O159" s="29" t="s">
        <v>214</v>
      </c>
      <c r="P159" s="32">
        <v>44562</v>
      </c>
      <c r="Q159" s="14"/>
      <c r="R159" s="37"/>
      <c r="S159" s="38"/>
      <c r="T159" s="30"/>
      <c r="U159" s="39"/>
      <c r="V159" s="40"/>
      <c r="W159" s="39"/>
      <c r="X159" s="41"/>
      <c r="Y159" s="9"/>
      <c r="Z159" s="9"/>
      <c r="AA159" s="9"/>
      <c r="AB159" s="7">
        <v>476357</v>
      </c>
      <c r="AC159" s="33"/>
      <c r="AD159" s="33"/>
      <c r="AE159" s="33"/>
      <c r="AF159" s="50">
        <v>46262</v>
      </c>
      <c r="AG159" s="45"/>
      <c r="AH159" s="36"/>
      <c r="AI159" s="36" t="s">
        <v>349</v>
      </c>
    </row>
    <row r="160" spans="2:35" x14ac:dyDescent="0.3">
      <c r="B160" s="13">
        <v>46055</v>
      </c>
      <c r="C160" s="61">
        <v>16085</v>
      </c>
      <c r="D160" s="30" t="s">
        <v>779</v>
      </c>
      <c r="E160" s="30" t="s">
        <v>780</v>
      </c>
      <c r="F160" s="15" t="s">
        <v>718</v>
      </c>
      <c r="G160" s="69">
        <v>46091</v>
      </c>
      <c r="H160" s="15" t="s">
        <v>251</v>
      </c>
      <c r="I160" s="15"/>
      <c r="J160" s="29">
        <v>44503</v>
      </c>
      <c r="K160" s="29">
        <v>45658</v>
      </c>
      <c r="L160" s="29" t="s">
        <v>238</v>
      </c>
      <c r="M160" s="29" t="s">
        <v>127</v>
      </c>
      <c r="N160" s="29" t="s">
        <v>17</v>
      </c>
      <c r="O160" s="29" t="s">
        <v>212</v>
      </c>
      <c r="P160" s="32"/>
      <c r="Q160" s="14"/>
      <c r="R160" s="37"/>
      <c r="S160" s="38"/>
      <c r="T160" s="30"/>
      <c r="U160" s="39"/>
      <c r="V160" s="40"/>
      <c r="W160" s="39"/>
      <c r="X160" s="41"/>
      <c r="Y160" s="9"/>
      <c r="Z160" s="9"/>
      <c r="AA160" s="9"/>
      <c r="AB160" s="7">
        <v>83714</v>
      </c>
      <c r="AC160" s="33"/>
      <c r="AD160" s="33"/>
      <c r="AE160" s="33"/>
      <c r="AF160" s="50">
        <v>46267</v>
      </c>
      <c r="AG160" s="45"/>
      <c r="AH160" s="36"/>
      <c r="AI160" s="36" t="s">
        <v>349</v>
      </c>
    </row>
    <row r="161" spans="2:35" x14ac:dyDescent="0.3">
      <c r="B161" s="13">
        <v>46055</v>
      </c>
      <c r="C161" s="61">
        <v>10019776</v>
      </c>
      <c r="D161" s="30" t="s">
        <v>787</v>
      </c>
      <c r="E161" s="30" t="s">
        <v>787</v>
      </c>
      <c r="F161" s="15" t="s">
        <v>723</v>
      </c>
      <c r="G161" s="69">
        <v>46091</v>
      </c>
      <c r="H161" s="15" t="s">
        <v>251</v>
      </c>
      <c r="I161" s="15"/>
      <c r="J161" s="29">
        <v>45215</v>
      </c>
      <c r="K161" s="29">
        <v>45967</v>
      </c>
      <c r="L161" s="29" t="s">
        <v>344</v>
      </c>
      <c r="M161" s="29" t="s">
        <v>104</v>
      </c>
      <c r="N161" s="29" t="s">
        <v>260</v>
      </c>
      <c r="O161" s="29" t="s">
        <v>221</v>
      </c>
      <c r="P161" s="32"/>
      <c r="Q161" s="14"/>
      <c r="R161" s="37"/>
      <c r="S161" s="38"/>
      <c r="T161" s="30"/>
      <c r="U161" s="39"/>
      <c r="V161" s="40"/>
      <c r="W161" s="39"/>
      <c r="X161" s="41"/>
      <c r="Y161" s="9"/>
      <c r="Z161" s="9"/>
      <c r="AA161" s="9"/>
      <c r="AB161" s="7">
        <v>44705</v>
      </c>
      <c r="AC161" s="33"/>
      <c r="AD161" s="33"/>
      <c r="AE161" s="33"/>
      <c r="AF161" s="50">
        <v>46273</v>
      </c>
      <c r="AG161" s="45"/>
      <c r="AH161" s="36"/>
      <c r="AI161" s="36" t="s">
        <v>349</v>
      </c>
    </row>
    <row r="162" spans="2:35" x14ac:dyDescent="0.3">
      <c r="B162" s="13">
        <v>46075</v>
      </c>
      <c r="C162" s="61">
        <v>261</v>
      </c>
      <c r="D162" s="30" t="s">
        <v>815</v>
      </c>
      <c r="E162" s="30" t="s">
        <v>816</v>
      </c>
      <c r="F162" s="15" t="s">
        <v>749</v>
      </c>
      <c r="G162" s="69">
        <v>46091</v>
      </c>
      <c r="H162" s="15" t="s">
        <v>251</v>
      </c>
      <c r="I162" s="15"/>
      <c r="J162" s="29">
        <v>38737</v>
      </c>
      <c r="K162" s="29">
        <v>45962</v>
      </c>
      <c r="L162" s="29" t="s">
        <v>270</v>
      </c>
      <c r="M162" s="29" t="s">
        <v>94</v>
      </c>
      <c r="N162" s="29" t="s">
        <v>17</v>
      </c>
      <c r="O162" s="29" t="s">
        <v>233</v>
      </c>
      <c r="P162" s="32">
        <v>44927</v>
      </c>
      <c r="Q162" s="14"/>
      <c r="R162" s="37"/>
      <c r="S162" s="38"/>
      <c r="T162" s="30"/>
      <c r="U162" s="39"/>
      <c r="V162" s="40"/>
      <c r="W162" s="39"/>
      <c r="X162" s="41"/>
      <c r="Y162" s="9"/>
      <c r="Z162" s="9"/>
      <c r="AA162" s="9"/>
      <c r="AB162" s="7">
        <v>885716</v>
      </c>
      <c r="AC162" s="33"/>
      <c r="AD162" s="33"/>
      <c r="AE162" s="33"/>
      <c r="AF162" s="50">
        <v>46305</v>
      </c>
      <c r="AG162" s="45"/>
      <c r="AH162" s="36"/>
      <c r="AI162" s="36" t="s">
        <v>349</v>
      </c>
    </row>
    <row r="163" spans="2:35" x14ac:dyDescent="0.3">
      <c r="B163" s="13">
        <v>46075</v>
      </c>
      <c r="C163" s="61">
        <v>10022350</v>
      </c>
      <c r="D163" s="30" t="s">
        <v>826</v>
      </c>
      <c r="E163" s="30" t="s">
        <v>826</v>
      </c>
      <c r="F163" s="15" t="s">
        <v>757</v>
      </c>
      <c r="G163" s="69">
        <v>46091</v>
      </c>
      <c r="H163" s="15" t="s">
        <v>251</v>
      </c>
      <c r="I163" s="15"/>
      <c r="J163" s="29">
        <v>45605</v>
      </c>
      <c r="K163" s="29">
        <v>45901</v>
      </c>
      <c r="L163" s="29" t="s">
        <v>211</v>
      </c>
      <c r="M163" s="29" t="s">
        <v>185</v>
      </c>
      <c r="N163" s="29" t="s">
        <v>24</v>
      </c>
      <c r="O163" s="29" t="s">
        <v>212</v>
      </c>
      <c r="P163" s="32"/>
      <c r="Q163" s="14"/>
      <c r="R163" s="37"/>
      <c r="S163" s="38"/>
      <c r="T163" s="30"/>
      <c r="U163" s="39"/>
      <c r="V163" s="40"/>
      <c r="W163" s="39"/>
      <c r="X163" s="41"/>
      <c r="Y163" s="9"/>
      <c r="Z163" s="9"/>
      <c r="AA163" s="9"/>
      <c r="AB163" s="7">
        <v>12697</v>
      </c>
      <c r="AC163" s="33"/>
      <c r="AD163" s="33"/>
      <c r="AE163" s="33"/>
      <c r="AF163" s="50">
        <v>46313</v>
      </c>
      <c r="AG163" s="45"/>
      <c r="AH163" s="36"/>
      <c r="AI163" s="36" t="s">
        <v>349</v>
      </c>
    </row>
    <row r="164" spans="2:35" x14ac:dyDescent="0.3">
      <c r="B164" s="13">
        <v>46075</v>
      </c>
      <c r="C164" s="61">
        <v>10024015</v>
      </c>
      <c r="D164" s="30" t="s">
        <v>827</v>
      </c>
      <c r="E164" s="30" t="s">
        <v>827</v>
      </c>
      <c r="F164" s="15" t="s">
        <v>758</v>
      </c>
      <c r="G164" s="69">
        <v>46091</v>
      </c>
      <c r="H164" s="15" t="s">
        <v>251</v>
      </c>
      <c r="I164" s="15"/>
      <c r="J164" s="29">
        <v>45847</v>
      </c>
      <c r="K164" s="29">
        <v>45903</v>
      </c>
      <c r="L164" s="29" t="s">
        <v>211</v>
      </c>
      <c r="M164" s="29" t="s">
        <v>145</v>
      </c>
      <c r="N164" s="29" t="s">
        <v>24</v>
      </c>
      <c r="O164" s="29" t="s">
        <v>212</v>
      </c>
      <c r="P164" s="32"/>
      <c r="Q164" s="14"/>
      <c r="R164" s="37"/>
      <c r="S164" s="38"/>
      <c r="T164" s="30"/>
      <c r="U164" s="39"/>
      <c r="V164" s="40"/>
      <c r="W164" s="39"/>
      <c r="X164" s="41"/>
      <c r="Y164" s="9"/>
      <c r="Z164" s="9"/>
      <c r="AA164" s="9"/>
      <c r="AB164" s="7">
        <v>10283</v>
      </c>
      <c r="AC164" s="33"/>
      <c r="AD164" s="33"/>
      <c r="AE164" s="33"/>
      <c r="AF164" s="50">
        <v>46314</v>
      </c>
      <c r="AG164" s="45"/>
      <c r="AH164" s="36"/>
      <c r="AI164" s="36" t="s">
        <v>349</v>
      </c>
    </row>
    <row r="165" spans="2:35" x14ac:dyDescent="0.3">
      <c r="B165" s="13">
        <v>46084</v>
      </c>
      <c r="C165" s="61">
        <v>7528</v>
      </c>
      <c r="D165" s="61">
        <v>8801814656686</v>
      </c>
      <c r="E165" s="61">
        <v>8801814656686</v>
      </c>
      <c r="F165" s="15" t="s">
        <v>846</v>
      </c>
      <c r="G165" s="69">
        <v>46091</v>
      </c>
      <c r="H165" s="15" t="s">
        <v>251</v>
      </c>
      <c r="I165" s="15"/>
      <c r="J165" s="29">
        <v>42294</v>
      </c>
      <c r="K165" s="29">
        <v>46054</v>
      </c>
      <c r="L165" s="29" t="s">
        <v>284</v>
      </c>
      <c r="M165" s="29" t="s">
        <v>156</v>
      </c>
      <c r="N165" s="29" t="s">
        <v>320</v>
      </c>
      <c r="O165" s="29" t="s">
        <v>273</v>
      </c>
      <c r="P165" s="32">
        <v>45292</v>
      </c>
      <c r="Q165" s="14"/>
      <c r="R165" s="37"/>
      <c r="S165" s="38"/>
      <c r="T165" s="30"/>
      <c r="U165" s="39"/>
      <c r="V165" s="40"/>
      <c r="W165" s="39"/>
      <c r="X165" s="41"/>
      <c r="Y165" s="9"/>
      <c r="Z165" s="9"/>
      <c r="AA165" s="9"/>
      <c r="AB165" s="7">
        <v>1505220</v>
      </c>
      <c r="AC165" s="33"/>
      <c r="AD165" s="33"/>
      <c r="AE165" s="33"/>
      <c r="AF165" s="50">
        <v>46325</v>
      </c>
      <c r="AG165" s="45"/>
      <c r="AH165" s="36"/>
      <c r="AI165" s="36" t="s">
        <v>349</v>
      </c>
    </row>
    <row r="166" spans="2:35" x14ac:dyDescent="0.3">
      <c r="B166" s="13">
        <v>46084</v>
      </c>
      <c r="C166" s="61">
        <v>10017840</v>
      </c>
      <c r="D166" s="61">
        <v>1680126404</v>
      </c>
      <c r="E166" s="61">
        <v>1680126404</v>
      </c>
      <c r="F166" s="15" t="s">
        <v>847</v>
      </c>
      <c r="G166" s="69">
        <v>46091</v>
      </c>
      <c r="H166" s="15" t="s">
        <v>251</v>
      </c>
      <c r="I166" s="15"/>
      <c r="J166" s="29">
        <v>44875</v>
      </c>
      <c r="K166" s="29">
        <v>46055</v>
      </c>
      <c r="L166" s="29" t="s">
        <v>295</v>
      </c>
      <c r="M166" s="29" t="s">
        <v>296</v>
      </c>
      <c r="N166" s="29" t="s">
        <v>30</v>
      </c>
      <c r="O166" s="29" t="s">
        <v>273</v>
      </c>
      <c r="P166" s="32">
        <v>45292</v>
      </c>
      <c r="Q166" s="14"/>
      <c r="R166" s="37"/>
      <c r="S166" s="38"/>
      <c r="T166" s="30"/>
      <c r="U166" s="39"/>
      <c r="V166" s="40"/>
      <c r="W166" s="39"/>
      <c r="X166" s="41"/>
      <c r="Y166" s="9"/>
      <c r="Z166" s="9"/>
      <c r="AA166" s="9"/>
      <c r="AB166" s="7">
        <v>257627</v>
      </c>
      <c r="AC166" s="33"/>
      <c r="AD166" s="33"/>
      <c r="AE166" s="33"/>
      <c r="AF166" s="50">
        <v>46326</v>
      </c>
      <c r="AG166" s="45"/>
      <c r="AH166" s="36"/>
      <c r="AI166" s="36" t="s">
        <v>349</v>
      </c>
    </row>
    <row r="167" spans="2:35" x14ac:dyDescent="0.3">
      <c r="B167" s="13">
        <v>46084</v>
      </c>
      <c r="C167" s="61">
        <v>6233</v>
      </c>
      <c r="D167" s="61">
        <v>8801847159393</v>
      </c>
      <c r="E167" s="61">
        <v>1847159393</v>
      </c>
      <c r="F167" s="15" t="s">
        <v>892</v>
      </c>
      <c r="G167" s="69">
        <v>46092</v>
      </c>
      <c r="H167" s="15" t="s">
        <v>251</v>
      </c>
      <c r="I167" s="15"/>
      <c r="J167" s="29">
        <v>41872</v>
      </c>
      <c r="K167" s="29">
        <v>45901</v>
      </c>
      <c r="L167" s="29" t="s">
        <v>219</v>
      </c>
      <c r="M167" s="29" t="s">
        <v>132</v>
      </c>
      <c r="N167" s="29" t="s">
        <v>23</v>
      </c>
      <c r="O167" s="29" t="s">
        <v>214</v>
      </c>
      <c r="P167" s="32"/>
      <c r="Q167" s="14"/>
      <c r="R167" s="37"/>
      <c r="S167" s="38"/>
      <c r="T167" s="30"/>
      <c r="U167" s="39"/>
      <c r="V167" s="40"/>
      <c r="W167" s="39"/>
      <c r="X167" s="41"/>
      <c r="Y167" s="9"/>
      <c r="Z167" s="9"/>
      <c r="AA167" s="9"/>
      <c r="AB167" s="7">
        <v>880330</v>
      </c>
      <c r="AC167" s="33"/>
      <c r="AD167" s="33"/>
      <c r="AE167" s="33"/>
      <c r="AF167" s="50">
        <v>46373</v>
      </c>
      <c r="AG167" s="45"/>
      <c r="AH167" s="36"/>
      <c r="AI167" s="36" t="s">
        <v>349</v>
      </c>
    </row>
    <row r="168" spans="2:35" x14ac:dyDescent="0.3">
      <c r="B168" s="13">
        <v>46084</v>
      </c>
      <c r="C168" s="61">
        <v>4786</v>
      </c>
      <c r="D168" s="61">
        <v>8801844532491</v>
      </c>
      <c r="E168" s="61">
        <v>8801844532491</v>
      </c>
      <c r="F168" s="15" t="s">
        <v>895</v>
      </c>
      <c r="G168" s="69">
        <v>46092</v>
      </c>
      <c r="H168" s="15" t="s">
        <v>251</v>
      </c>
      <c r="I168" s="15"/>
      <c r="J168" s="29">
        <v>41069</v>
      </c>
      <c r="K168" s="29">
        <v>46043</v>
      </c>
      <c r="L168" s="29" t="s">
        <v>225</v>
      </c>
      <c r="M168" s="29" t="s">
        <v>896</v>
      </c>
      <c r="N168" s="29" t="s">
        <v>897</v>
      </c>
      <c r="O168" s="29" t="s">
        <v>230</v>
      </c>
      <c r="P168" s="32">
        <v>44562</v>
      </c>
      <c r="Q168" s="14"/>
      <c r="R168" s="37"/>
      <c r="S168" s="38"/>
      <c r="T168" s="30"/>
      <c r="U168" s="39"/>
      <c r="V168" s="40"/>
      <c r="W168" s="39"/>
      <c r="X168" s="41"/>
      <c r="Y168" s="9"/>
      <c r="Z168" s="9"/>
      <c r="AA168" s="9"/>
      <c r="AB168" s="7">
        <v>3305744</v>
      </c>
      <c r="AC168" s="33"/>
      <c r="AD168" s="33"/>
      <c r="AE168" s="33"/>
      <c r="AF168" s="50">
        <v>46376</v>
      </c>
      <c r="AG168" s="45"/>
      <c r="AH168" s="36"/>
      <c r="AI168" s="36" t="s">
        <v>349</v>
      </c>
    </row>
    <row r="169" spans="2:35" x14ac:dyDescent="0.3">
      <c r="B169" s="13">
        <v>46040</v>
      </c>
      <c r="C169" s="61">
        <v>10020328</v>
      </c>
      <c r="D169" s="30" t="s">
        <v>574</v>
      </c>
      <c r="E169" s="30" t="s">
        <v>574</v>
      </c>
      <c r="F169" s="15" t="s">
        <v>443</v>
      </c>
      <c r="G169" s="69">
        <v>46092</v>
      </c>
      <c r="H169" s="15" t="s">
        <v>251</v>
      </c>
      <c r="I169" s="15"/>
      <c r="J169" s="29">
        <v>45311</v>
      </c>
      <c r="K169" s="29">
        <v>45473</v>
      </c>
      <c r="L169" s="29" t="s">
        <v>211</v>
      </c>
      <c r="M169" s="29" t="s">
        <v>190</v>
      </c>
      <c r="N169" s="29" t="s">
        <v>23</v>
      </c>
      <c r="O169" s="29" t="s">
        <v>212</v>
      </c>
      <c r="P169" s="32"/>
      <c r="Q169" s="14"/>
      <c r="R169" s="37"/>
      <c r="S169" s="38"/>
      <c r="T169" s="30"/>
      <c r="U169" s="39"/>
      <c r="V169" s="40"/>
      <c r="W169" s="39"/>
      <c r="X169" s="41"/>
      <c r="Y169" s="9"/>
      <c r="Z169" s="9"/>
      <c r="AA169" s="9"/>
      <c r="AB169" s="7">
        <v>5867</v>
      </c>
      <c r="AC169" s="33"/>
      <c r="AD169" s="33"/>
      <c r="AE169" s="33"/>
      <c r="AF169" s="50">
        <v>46221</v>
      </c>
      <c r="AG169" s="45"/>
      <c r="AH169" s="36"/>
      <c r="AI169" s="36" t="s">
        <v>349</v>
      </c>
    </row>
    <row r="170" spans="2:35" x14ac:dyDescent="0.3">
      <c r="B170" s="13">
        <v>46055</v>
      </c>
      <c r="C170" s="61">
        <v>10018438</v>
      </c>
      <c r="D170" s="30" t="s">
        <v>784</v>
      </c>
      <c r="E170" s="30" t="s">
        <v>785</v>
      </c>
      <c r="F170" s="15" t="s">
        <v>721</v>
      </c>
      <c r="G170" s="69">
        <v>46092</v>
      </c>
      <c r="H170" s="15" t="s">
        <v>251</v>
      </c>
      <c r="I170" s="15"/>
      <c r="J170" s="29">
        <v>44990</v>
      </c>
      <c r="K170" s="29">
        <v>45667</v>
      </c>
      <c r="L170" s="29" t="s">
        <v>211</v>
      </c>
      <c r="M170" s="29" t="s">
        <v>138</v>
      </c>
      <c r="N170" s="29" t="s">
        <v>23</v>
      </c>
      <c r="O170" s="29" t="s">
        <v>212</v>
      </c>
      <c r="P170" s="32"/>
      <c r="Q170" s="14"/>
      <c r="R170" s="37"/>
      <c r="S170" s="38"/>
      <c r="T170" s="30"/>
      <c r="U170" s="39"/>
      <c r="V170" s="40"/>
      <c r="W170" s="39"/>
      <c r="X170" s="41"/>
      <c r="Y170" s="9"/>
      <c r="Z170" s="9"/>
      <c r="AA170" s="9"/>
      <c r="AB170" s="7">
        <v>46357</v>
      </c>
      <c r="AC170" s="33"/>
      <c r="AD170" s="33"/>
      <c r="AE170" s="33"/>
      <c r="AF170" s="50">
        <v>46271</v>
      </c>
      <c r="AG170" s="45"/>
      <c r="AH170" s="36"/>
      <c r="AI170" s="36" t="s">
        <v>349</v>
      </c>
    </row>
    <row r="171" spans="2:35" x14ac:dyDescent="0.3">
      <c r="B171" s="13">
        <v>46055</v>
      </c>
      <c r="C171" s="61">
        <v>10022152</v>
      </c>
      <c r="D171" s="30" t="s">
        <v>786</v>
      </c>
      <c r="E171" s="30" t="s">
        <v>786</v>
      </c>
      <c r="F171" s="15" t="s">
        <v>722</v>
      </c>
      <c r="G171" s="69">
        <v>46092</v>
      </c>
      <c r="H171" s="15" t="s">
        <v>251</v>
      </c>
      <c r="I171" s="15"/>
      <c r="J171" s="29">
        <v>45586</v>
      </c>
      <c r="K171" s="29">
        <v>45839</v>
      </c>
      <c r="L171" s="29" t="s">
        <v>211</v>
      </c>
      <c r="M171" s="29" t="s">
        <v>767</v>
      </c>
      <c r="N171" s="29" t="s">
        <v>23</v>
      </c>
      <c r="O171" s="29" t="s">
        <v>212</v>
      </c>
      <c r="P171" s="32"/>
      <c r="Q171" s="14"/>
      <c r="R171" s="37"/>
      <c r="S171" s="38"/>
      <c r="T171" s="30"/>
      <c r="U171" s="39"/>
      <c r="V171" s="40"/>
      <c r="W171" s="39"/>
      <c r="X171" s="41"/>
      <c r="Y171" s="9"/>
      <c r="Z171" s="9"/>
      <c r="AA171" s="9"/>
      <c r="AB171" s="7">
        <v>31470</v>
      </c>
      <c r="AC171" s="33"/>
      <c r="AD171" s="33"/>
      <c r="AE171" s="33"/>
      <c r="AF171" s="50">
        <v>46272</v>
      </c>
      <c r="AG171" s="45"/>
      <c r="AH171" s="36"/>
      <c r="AI171" s="36" t="s">
        <v>349</v>
      </c>
    </row>
    <row r="172" spans="2:35" x14ac:dyDescent="0.3">
      <c r="B172" s="13">
        <v>46055</v>
      </c>
      <c r="C172" s="61">
        <v>10021575</v>
      </c>
      <c r="D172" s="30" t="s">
        <v>795</v>
      </c>
      <c r="E172" s="30" t="s">
        <v>795</v>
      </c>
      <c r="F172" s="15" t="s">
        <v>730</v>
      </c>
      <c r="G172" s="69">
        <v>46092</v>
      </c>
      <c r="H172" s="15" t="s">
        <v>251</v>
      </c>
      <c r="I172" s="15"/>
      <c r="J172" s="29">
        <v>45506</v>
      </c>
      <c r="K172" s="29">
        <v>45870</v>
      </c>
      <c r="L172" s="29" t="s">
        <v>211</v>
      </c>
      <c r="M172" s="29" t="s">
        <v>177</v>
      </c>
      <c r="N172" s="29" t="s">
        <v>24</v>
      </c>
      <c r="O172" s="29" t="s">
        <v>212</v>
      </c>
      <c r="P172" s="32"/>
      <c r="Q172" s="14"/>
      <c r="R172" s="37"/>
      <c r="S172" s="38"/>
      <c r="T172" s="30"/>
      <c r="U172" s="39"/>
      <c r="V172" s="40"/>
      <c r="W172" s="39"/>
      <c r="X172" s="41"/>
      <c r="Y172" s="9"/>
      <c r="Z172" s="9"/>
      <c r="AA172" s="9"/>
      <c r="AB172" s="7">
        <v>12439</v>
      </c>
      <c r="AC172" s="33"/>
      <c r="AD172" s="33"/>
      <c r="AE172" s="33"/>
      <c r="AF172" s="50">
        <v>46282</v>
      </c>
      <c r="AG172" s="45"/>
      <c r="AH172" s="36"/>
      <c r="AI172" s="36" t="s">
        <v>349</v>
      </c>
    </row>
    <row r="173" spans="2:35" x14ac:dyDescent="0.3">
      <c r="B173" s="13">
        <v>46055</v>
      </c>
      <c r="C173" s="61">
        <v>10021489</v>
      </c>
      <c r="D173" s="30" t="s">
        <v>799</v>
      </c>
      <c r="E173" s="30" t="s">
        <v>799</v>
      </c>
      <c r="F173" s="15" t="s">
        <v>325</v>
      </c>
      <c r="G173" s="69">
        <v>46092</v>
      </c>
      <c r="H173" s="15" t="s">
        <v>251</v>
      </c>
      <c r="I173" s="15"/>
      <c r="J173" s="29">
        <v>45481</v>
      </c>
      <c r="K173" s="29">
        <v>45876</v>
      </c>
      <c r="L173" s="29" t="s">
        <v>211</v>
      </c>
      <c r="M173" s="29" t="s">
        <v>173</v>
      </c>
      <c r="N173" s="29" t="s">
        <v>16</v>
      </c>
      <c r="O173" s="29" t="s">
        <v>212</v>
      </c>
      <c r="P173" s="32"/>
      <c r="Q173" s="14"/>
      <c r="R173" s="37"/>
      <c r="S173" s="38"/>
      <c r="T173" s="30"/>
      <c r="U173" s="39"/>
      <c r="V173" s="40"/>
      <c r="W173" s="39"/>
      <c r="X173" s="41"/>
      <c r="Y173" s="9"/>
      <c r="Z173" s="9"/>
      <c r="AA173" s="9"/>
      <c r="AB173" s="7">
        <v>10955</v>
      </c>
      <c r="AC173" s="33"/>
      <c r="AD173" s="33"/>
      <c r="AE173" s="33"/>
      <c r="AF173" s="50">
        <v>46286</v>
      </c>
      <c r="AG173" s="45"/>
      <c r="AH173" s="36"/>
      <c r="AI173" s="36" t="s">
        <v>349</v>
      </c>
    </row>
    <row r="174" spans="2:35" x14ac:dyDescent="0.3">
      <c r="B174" s="13">
        <v>46055</v>
      </c>
      <c r="C174" s="61">
        <v>10022550</v>
      </c>
      <c r="D174" s="30" t="s">
        <v>806</v>
      </c>
      <c r="E174" s="30" t="s">
        <v>806</v>
      </c>
      <c r="F174" s="15" t="s">
        <v>740</v>
      </c>
      <c r="G174" s="69">
        <v>46092</v>
      </c>
      <c r="H174" s="15" t="s">
        <v>251</v>
      </c>
      <c r="I174" s="15"/>
      <c r="J174" s="29">
        <v>45644</v>
      </c>
      <c r="K174" s="29">
        <v>45778</v>
      </c>
      <c r="L174" s="29" t="s">
        <v>211</v>
      </c>
      <c r="M174" s="29" t="s">
        <v>613</v>
      </c>
      <c r="N174" s="29" t="s">
        <v>24</v>
      </c>
      <c r="O174" s="29" t="s">
        <v>212</v>
      </c>
      <c r="P174" s="32"/>
      <c r="Q174" s="14"/>
      <c r="R174" s="37"/>
      <c r="S174" s="38"/>
      <c r="T174" s="30"/>
      <c r="U174" s="39"/>
      <c r="V174" s="40"/>
      <c r="W174" s="39"/>
      <c r="X174" s="41"/>
      <c r="Y174" s="9"/>
      <c r="Z174" s="9"/>
      <c r="AA174" s="9"/>
      <c r="AB174" s="7">
        <v>6022</v>
      </c>
      <c r="AC174" s="33"/>
      <c r="AD174" s="33"/>
      <c r="AE174" s="33"/>
      <c r="AF174" s="50">
        <v>46294</v>
      </c>
      <c r="AG174" s="45"/>
      <c r="AH174" s="36"/>
      <c r="AI174" s="36" t="s">
        <v>349</v>
      </c>
    </row>
    <row r="175" spans="2:35" x14ac:dyDescent="0.3">
      <c r="B175" s="13">
        <v>46055</v>
      </c>
      <c r="C175" s="61">
        <v>10020375</v>
      </c>
      <c r="D175" s="30" t="s">
        <v>808</v>
      </c>
      <c r="E175" s="30" t="s">
        <v>808</v>
      </c>
      <c r="F175" s="15" t="s">
        <v>743</v>
      </c>
      <c r="G175" s="69">
        <v>46092</v>
      </c>
      <c r="H175" s="15" t="s">
        <v>251</v>
      </c>
      <c r="I175" s="15"/>
      <c r="J175" s="29">
        <v>45323</v>
      </c>
      <c r="K175" s="29">
        <v>45992</v>
      </c>
      <c r="L175" s="29" t="s">
        <v>682</v>
      </c>
      <c r="M175" s="29" t="s">
        <v>144</v>
      </c>
      <c r="N175" s="29" t="s">
        <v>15</v>
      </c>
      <c r="O175" s="29" t="s">
        <v>335</v>
      </c>
      <c r="P175" s="32"/>
      <c r="Q175" s="14"/>
      <c r="R175" s="37"/>
      <c r="S175" s="38"/>
      <c r="T175" s="30"/>
      <c r="U175" s="39"/>
      <c r="V175" s="40"/>
      <c r="W175" s="39"/>
      <c r="X175" s="41"/>
      <c r="Y175" s="9"/>
      <c r="Z175" s="9"/>
      <c r="AA175" s="9"/>
      <c r="AB175" s="7">
        <v>17255</v>
      </c>
      <c r="AC175" s="33"/>
      <c r="AD175" s="33"/>
      <c r="AE175" s="33"/>
      <c r="AF175" s="50">
        <v>46298</v>
      </c>
      <c r="AG175" s="45"/>
      <c r="AH175" s="36"/>
      <c r="AI175" s="36" t="s">
        <v>349</v>
      </c>
    </row>
    <row r="176" spans="2:35" x14ac:dyDescent="0.3">
      <c r="B176" s="13">
        <v>46075</v>
      </c>
      <c r="C176" s="61">
        <v>12422</v>
      </c>
      <c r="D176" s="30" t="s">
        <v>813</v>
      </c>
      <c r="E176" s="30" t="s">
        <v>814</v>
      </c>
      <c r="F176" s="15" t="s">
        <v>748</v>
      </c>
      <c r="G176" s="69">
        <v>46092</v>
      </c>
      <c r="H176" s="15" t="s">
        <v>251</v>
      </c>
      <c r="I176" s="15"/>
      <c r="J176" s="29">
        <v>43538</v>
      </c>
      <c r="K176" s="29">
        <v>45875</v>
      </c>
      <c r="L176" s="29" t="s">
        <v>219</v>
      </c>
      <c r="M176" s="29" t="s">
        <v>105</v>
      </c>
      <c r="N176" s="29" t="s">
        <v>23</v>
      </c>
      <c r="O176" s="29" t="s">
        <v>214</v>
      </c>
      <c r="P176" s="32"/>
      <c r="Q176" s="14"/>
      <c r="R176" s="37"/>
      <c r="S176" s="38"/>
      <c r="T176" s="30"/>
      <c r="U176" s="39"/>
      <c r="V176" s="40"/>
      <c r="W176" s="39"/>
      <c r="X176" s="41"/>
      <c r="Y176" s="9"/>
      <c r="Z176" s="9"/>
      <c r="AA176" s="9"/>
      <c r="AB176" s="7">
        <v>435922</v>
      </c>
      <c r="AC176" s="33"/>
      <c r="AD176" s="33"/>
      <c r="AE176" s="33"/>
      <c r="AF176" s="50">
        <v>46304</v>
      </c>
      <c r="AG176" s="45"/>
      <c r="AH176" s="36"/>
      <c r="AI176" s="36" t="s">
        <v>349</v>
      </c>
    </row>
    <row r="177" spans="2:35" x14ac:dyDescent="0.3">
      <c r="B177" s="13">
        <v>46075</v>
      </c>
      <c r="C177" s="61">
        <v>10021445</v>
      </c>
      <c r="D177" s="30" t="s">
        <v>821</v>
      </c>
      <c r="E177" s="30" t="s">
        <v>821</v>
      </c>
      <c r="F177" s="15" t="s">
        <v>753</v>
      </c>
      <c r="G177" s="69">
        <v>46092</v>
      </c>
      <c r="H177" s="15" t="s">
        <v>251</v>
      </c>
      <c r="I177" s="15"/>
      <c r="J177" s="29">
        <v>45472</v>
      </c>
      <c r="K177" s="29">
        <v>45901</v>
      </c>
      <c r="L177" s="29" t="s">
        <v>211</v>
      </c>
      <c r="M177" s="29" t="s">
        <v>177</v>
      </c>
      <c r="N177" s="29" t="s">
        <v>24</v>
      </c>
      <c r="O177" s="29" t="s">
        <v>212</v>
      </c>
      <c r="P177" s="32"/>
      <c r="Q177" s="14"/>
      <c r="R177" s="37"/>
      <c r="S177" s="38"/>
      <c r="T177" s="30"/>
      <c r="U177" s="39"/>
      <c r="V177" s="40"/>
      <c r="W177" s="39"/>
      <c r="X177" s="41"/>
      <c r="Y177" s="9"/>
      <c r="Z177" s="9"/>
      <c r="AA177" s="9"/>
      <c r="AB177" s="7">
        <v>25932</v>
      </c>
      <c r="AC177" s="33"/>
      <c r="AD177" s="33"/>
      <c r="AE177" s="33"/>
      <c r="AF177" s="50">
        <v>46309</v>
      </c>
      <c r="AG177" s="45"/>
      <c r="AH177" s="36"/>
      <c r="AI177" s="36" t="s">
        <v>349</v>
      </c>
    </row>
    <row r="178" spans="2:35" x14ac:dyDescent="0.3">
      <c r="B178" s="13">
        <v>46075</v>
      </c>
      <c r="C178" s="61">
        <v>30017882</v>
      </c>
      <c r="D178" s="30" t="s">
        <v>828</v>
      </c>
      <c r="E178" s="30" t="s">
        <v>828</v>
      </c>
      <c r="F178" s="15" t="s">
        <v>759</v>
      </c>
      <c r="G178" s="69">
        <v>46092</v>
      </c>
      <c r="H178" s="15" t="s">
        <v>251</v>
      </c>
      <c r="I178" s="15"/>
      <c r="J178" s="29">
        <v>45901</v>
      </c>
      <c r="K178" s="29">
        <v>45980</v>
      </c>
      <c r="L178" s="29" t="s">
        <v>312</v>
      </c>
      <c r="M178" s="29" t="s">
        <v>269</v>
      </c>
      <c r="N178" s="29" t="s">
        <v>27</v>
      </c>
      <c r="O178" s="29" t="s">
        <v>221</v>
      </c>
      <c r="P178" s="32"/>
      <c r="Q178" s="14"/>
      <c r="R178" s="37"/>
      <c r="S178" s="38"/>
      <c r="T178" s="30"/>
      <c r="U178" s="39"/>
      <c r="V178" s="40"/>
      <c r="W178" s="39"/>
      <c r="X178" s="41"/>
      <c r="Y178" s="9"/>
      <c r="Z178" s="9"/>
      <c r="AA178" s="9"/>
      <c r="AB178" s="7">
        <v>8981</v>
      </c>
      <c r="AC178" s="33"/>
      <c r="AD178" s="33"/>
      <c r="AE178" s="33"/>
      <c r="AF178" s="50">
        <v>46315</v>
      </c>
      <c r="AG178" s="45"/>
      <c r="AH178" s="36"/>
      <c r="AI178" s="36" t="s">
        <v>349</v>
      </c>
    </row>
    <row r="179" spans="2:35" x14ac:dyDescent="0.3">
      <c r="B179" s="13">
        <v>46075</v>
      </c>
      <c r="C179" s="61">
        <v>10023541</v>
      </c>
      <c r="D179" s="30" t="s">
        <v>832</v>
      </c>
      <c r="E179" s="30" t="s">
        <v>832</v>
      </c>
      <c r="F179" s="15" t="s">
        <v>763</v>
      </c>
      <c r="G179" s="69">
        <v>46092</v>
      </c>
      <c r="H179" s="15" t="s">
        <v>251</v>
      </c>
      <c r="I179" s="15"/>
      <c r="J179" s="29">
        <v>45763</v>
      </c>
      <c r="K179" s="29">
        <v>45839</v>
      </c>
      <c r="L179" s="29" t="s">
        <v>211</v>
      </c>
      <c r="M179" s="29" t="s">
        <v>185</v>
      </c>
      <c r="N179" s="29" t="s">
        <v>24</v>
      </c>
      <c r="O179" s="29" t="s">
        <v>212</v>
      </c>
      <c r="P179" s="32"/>
      <c r="Q179" s="14"/>
      <c r="R179" s="37"/>
      <c r="S179" s="38"/>
      <c r="T179" s="30"/>
      <c r="U179" s="39"/>
      <c r="V179" s="40"/>
      <c r="W179" s="39"/>
      <c r="X179" s="41"/>
      <c r="Y179" s="9"/>
      <c r="Z179" s="9"/>
      <c r="AA179" s="9"/>
      <c r="AB179" s="7">
        <v>6490</v>
      </c>
      <c r="AC179" s="33"/>
      <c r="AD179" s="33"/>
      <c r="AE179" s="33"/>
      <c r="AF179" s="50">
        <v>46319</v>
      </c>
      <c r="AG179" s="45"/>
      <c r="AH179" s="36"/>
      <c r="AI179" s="36" t="s">
        <v>349</v>
      </c>
    </row>
    <row r="180" spans="2:35" x14ac:dyDescent="0.3">
      <c r="B180" s="13">
        <v>46040</v>
      </c>
      <c r="C180" s="61">
        <v>10022615</v>
      </c>
      <c r="D180" s="30" t="s">
        <v>634</v>
      </c>
      <c r="E180" s="30" t="s">
        <v>634</v>
      </c>
      <c r="F180" s="15" t="s">
        <v>635</v>
      </c>
      <c r="G180" s="69">
        <v>46093</v>
      </c>
      <c r="H180" s="15" t="s">
        <v>251</v>
      </c>
      <c r="I180" s="15"/>
      <c r="J180" s="29">
        <v>45636</v>
      </c>
      <c r="K180" s="29">
        <v>45839</v>
      </c>
      <c r="L180" s="29" t="s">
        <v>211</v>
      </c>
      <c r="M180" s="29" t="s">
        <v>131</v>
      </c>
      <c r="N180" s="29" t="s">
        <v>22</v>
      </c>
      <c r="O180" s="29" t="s">
        <v>212</v>
      </c>
      <c r="P180" s="32"/>
      <c r="Q180" s="14"/>
      <c r="R180" s="37"/>
      <c r="S180" s="38"/>
      <c r="T180" s="30"/>
      <c r="U180" s="39"/>
      <c r="V180" s="40"/>
      <c r="W180" s="39"/>
      <c r="X180" s="41"/>
      <c r="Y180" s="9"/>
      <c r="Z180" s="9"/>
      <c r="AA180" s="9"/>
      <c r="AB180" s="7">
        <v>9535</v>
      </c>
      <c r="AC180" s="33"/>
      <c r="AD180" s="33"/>
      <c r="AE180" s="33"/>
      <c r="AF180" s="50">
        <v>46221</v>
      </c>
      <c r="AG180" s="45"/>
      <c r="AH180" s="36"/>
      <c r="AI180" s="36"/>
    </row>
    <row r="181" spans="2:35" x14ac:dyDescent="0.3">
      <c r="B181" s="13">
        <v>46040</v>
      </c>
      <c r="C181" s="61">
        <v>10023040</v>
      </c>
      <c r="D181" s="30" t="s">
        <v>644</v>
      </c>
      <c r="E181" s="30" t="s">
        <v>644</v>
      </c>
      <c r="F181" s="15" t="s">
        <v>472</v>
      </c>
      <c r="G181" s="69">
        <v>46093</v>
      </c>
      <c r="H181" s="15" t="s">
        <v>251</v>
      </c>
      <c r="I181" s="15"/>
      <c r="J181" s="29">
        <v>45679</v>
      </c>
      <c r="K181" s="29">
        <v>45901</v>
      </c>
      <c r="L181" s="29" t="s">
        <v>236</v>
      </c>
      <c r="M181" s="29" t="s">
        <v>132</v>
      </c>
      <c r="N181" s="29" t="s">
        <v>23</v>
      </c>
      <c r="O181" s="29" t="s">
        <v>212</v>
      </c>
      <c r="P181" s="32"/>
      <c r="Q181" s="14"/>
      <c r="R181" s="37"/>
      <c r="S181" s="38"/>
      <c r="T181" s="30"/>
      <c r="U181" s="39"/>
      <c r="V181" s="40"/>
      <c r="W181" s="39"/>
      <c r="X181" s="41"/>
      <c r="Y181" s="9"/>
      <c r="Z181" s="9"/>
      <c r="AA181" s="9"/>
      <c r="AB181" s="7">
        <v>7392</v>
      </c>
      <c r="AC181" s="33"/>
      <c r="AD181" s="33"/>
      <c r="AE181" s="33"/>
      <c r="AF181" s="50">
        <v>46221</v>
      </c>
      <c r="AG181" s="45"/>
      <c r="AH181" s="36"/>
      <c r="AI181" s="36"/>
    </row>
    <row r="182" spans="2:35" x14ac:dyDescent="0.3">
      <c r="B182" s="13">
        <v>46055</v>
      </c>
      <c r="C182" s="61">
        <v>10018907</v>
      </c>
      <c r="D182" s="30" t="s">
        <v>788</v>
      </c>
      <c r="E182" s="30" t="s">
        <v>788</v>
      </c>
      <c r="F182" s="15" t="s">
        <v>724</v>
      </c>
      <c r="G182" s="69">
        <v>46093</v>
      </c>
      <c r="H182" s="15" t="s">
        <v>251</v>
      </c>
      <c r="I182" s="15"/>
      <c r="J182" s="29">
        <v>45068</v>
      </c>
      <c r="K182" s="29">
        <v>45778</v>
      </c>
      <c r="L182" s="29" t="s">
        <v>211</v>
      </c>
      <c r="M182" s="29" t="s">
        <v>127</v>
      </c>
      <c r="N182" s="29" t="s">
        <v>23</v>
      </c>
      <c r="O182" s="29" t="s">
        <v>212</v>
      </c>
      <c r="P182" s="32"/>
      <c r="Q182" s="14"/>
      <c r="R182" s="37"/>
      <c r="S182" s="38"/>
      <c r="T182" s="30"/>
      <c r="U182" s="39"/>
      <c r="V182" s="40"/>
      <c r="W182" s="39"/>
      <c r="X182" s="41"/>
      <c r="Y182" s="9"/>
      <c r="Z182" s="9"/>
      <c r="AA182" s="9"/>
      <c r="AB182" s="7">
        <v>33398</v>
      </c>
      <c r="AC182" s="33"/>
      <c r="AD182" s="33"/>
      <c r="AE182" s="33"/>
      <c r="AF182" s="50">
        <v>46274</v>
      </c>
      <c r="AG182" s="45"/>
      <c r="AH182" s="36"/>
      <c r="AI182" s="36"/>
    </row>
    <row r="183" spans="2:35" x14ac:dyDescent="0.3">
      <c r="B183" s="13">
        <v>46055</v>
      </c>
      <c r="C183" s="61">
        <v>10022733</v>
      </c>
      <c r="D183" s="30" t="s">
        <v>790</v>
      </c>
      <c r="E183" s="30" t="s">
        <v>790</v>
      </c>
      <c r="F183" s="15" t="s">
        <v>726</v>
      </c>
      <c r="G183" s="69">
        <v>46093</v>
      </c>
      <c r="H183" s="15" t="s">
        <v>251</v>
      </c>
      <c r="I183" s="15"/>
      <c r="J183" s="29">
        <v>45659</v>
      </c>
      <c r="K183" s="29">
        <v>45931</v>
      </c>
      <c r="L183" s="29" t="s">
        <v>236</v>
      </c>
      <c r="M183" s="29" t="s">
        <v>116</v>
      </c>
      <c r="N183" s="29" t="s">
        <v>24</v>
      </c>
      <c r="O183" s="29" t="s">
        <v>212</v>
      </c>
      <c r="P183" s="32"/>
      <c r="Q183" s="14"/>
      <c r="R183" s="37"/>
      <c r="S183" s="38"/>
      <c r="T183" s="30"/>
      <c r="U183" s="39"/>
      <c r="V183" s="40"/>
      <c r="W183" s="39"/>
      <c r="X183" s="41"/>
      <c r="Y183" s="9"/>
      <c r="Z183" s="9"/>
      <c r="AA183" s="9"/>
      <c r="AB183" s="7">
        <v>28855</v>
      </c>
      <c r="AC183" s="33"/>
      <c r="AD183" s="33"/>
      <c r="AE183" s="33"/>
      <c r="AF183" s="50">
        <v>46276</v>
      </c>
      <c r="AG183" s="45"/>
      <c r="AH183" s="36"/>
      <c r="AI183" s="36"/>
    </row>
    <row r="184" spans="2:35" x14ac:dyDescent="0.3">
      <c r="B184" s="13">
        <v>46055</v>
      </c>
      <c r="C184" s="61">
        <v>10022044</v>
      </c>
      <c r="D184" s="30" t="s">
        <v>800</v>
      </c>
      <c r="E184" s="30" t="s">
        <v>800</v>
      </c>
      <c r="F184" s="15" t="s">
        <v>734</v>
      </c>
      <c r="G184" s="69">
        <v>46093</v>
      </c>
      <c r="H184" s="15" t="s">
        <v>251</v>
      </c>
      <c r="I184" s="15"/>
      <c r="J184" s="29">
        <v>45581</v>
      </c>
      <c r="K184" s="29">
        <v>45918</v>
      </c>
      <c r="L184" s="29" t="s">
        <v>220</v>
      </c>
      <c r="M184" s="29" t="s">
        <v>165</v>
      </c>
      <c r="N184" s="29" t="s">
        <v>17</v>
      </c>
      <c r="O184" s="29" t="s">
        <v>221</v>
      </c>
      <c r="P184" s="32"/>
      <c r="Q184" s="14"/>
      <c r="R184" s="37"/>
      <c r="S184" s="38"/>
      <c r="T184" s="30"/>
      <c r="U184" s="39"/>
      <c r="V184" s="40"/>
      <c r="W184" s="39"/>
      <c r="X184" s="41"/>
      <c r="Y184" s="9"/>
      <c r="Z184" s="9"/>
      <c r="AA184" s="9"/>
      <c r="AB184" s="7">
        <v>12996</v>
      </c>
      <c r="AC184" s="33"/>
      <c r="AD184" s="33"/>
      <c r="AE184" s="33"/>
      <c r="AF184" s="50">
        <v>46287</v>
      </c>
      <c r="AG184" s="45"/>
      <c r="AH184" s="36"/>
      <c r="AI184" s="36"/>
    </row>
    <row r="185" spans="2:35" x14ac:dyDescent="0.3">
      <c r="B185" s="13">
        <v>46055</v>
      </c>
      <c r="C185" s="61">
        <v>10023350</v>
      </c>
      <c r="D185" s="30" t="s">
        <v>801</v>
      </c>
      <c r="E185" s="30" t="s">
        <v>801</v>
      </c>
      <c r="F185" s="15" t="s">
        <v>735</v>
      </c>
      <c r="G185" s="69">
        <v>46093</v>
      </c>
      <c r="H185" s="15" t="s">
        <v>251</v>
      </c>
      <c r="I185" s="15"/>
      <c r="J185" s="29">
        <v>45721</v>
      </c>
      <c r="K185" s="29">
        <v>45839</v>
      </c>
      <c r="L185" s="29" t="s">
        <v>211</v>
      </c>
      <c r="M185" s="29" t="s">
        <v>643</v>
      </c>
      <c r="N185" s="29" t="s">
        <v>23</v>
      </c>
      <c r="O185" s="29" t="s">
        <v>212</v>
      </c>
      <c r="P185" s="32"/>
      <c r="Q185" s="14"/>
      <c r="R185" s="37"/>
      <c r="S185" s="38"/>
      <c r="T185" s="30"/>
      <c r="U185" s="39"/>
      <c r="V185" s="40"/>
      <c r="W185" s="39"/>
      <c r="X185" s="41"/>
      <c r="Y185" s="9"/>
      <c r="Z185" s="9"/>
      <c r="AA185" s="9"/>
      <c r="AB185" s="7">
        <v>8526</v>
      </c>
      <c r="AC185" s="33"/>
      <c r="AD185" s="33"/>
      <c r="AE185" s="33"/>
      <c r="AF185" s="50">
        <v>46288</v>
      </c>
      <c r="AG185" s="45"/>
      <c r="AH185" s="36"/>
      <c r="AI185" s="36"/>
    </row>
    <row r="186" spans="2:35" x14ac:dyDescent="0.3">
      <c r="B186" s="13">
        <v>46075</v>
      </c>
      <c r="C186" s="61">
        <v>816</v>
      </c>
      <c r="D186" s="30" t="s">
        <v>817</v>
      </c>
      <c r="E186" s="30" t="s">
        <v>818</v>
      </c>
      <c r="F186" s="15" t="s">
        <v>750</v>
      </c>
      <c r="G186" s="69">
        <v>46093</v>
      </c>
      <c r="H186" s="15" t="s">
        <v>251</v>
      </c>
      <c r="I186" s="15"/>
      <c r="J186" s="29">
        <v>41275</v>
      </c>
      <c r="K186" s="29">
        <v>45962</v>
      </c>
      <c r="L186" s="29" t="s">
        <v>672</v>
      </c>
      <c r="M186" s="29" t="s">
        <v>94</v>
      </c>
      <c r="N186" s="29" t="s">
        <v>17</v>
      </c>
      <c r="O186" s="29" t="s">
        <v>233</v>
      </c>
      <c r="P186" s="32">
        <v>44927</v>
      </c>
      <c r="Q186" s="14"/>
      <c r="R186" s="37"/>
      <c r="S186" s="38"/>
      <c r="T186" s="30"/>
      <c r="U186" s="39"/>
      <c r="V186" s="40"/>
      <c r="W186" s="39"/>
      <c r="X186" s="41"/>
      <c r="Y186" s="9"/>
      <c r="Z186" s="9"/>
      <c r="AA186" s="9"/>
      <c r="AB186" s="7">
        <v>630151</v>
      </c>
      <c r="AC186" s="33"/>
      <c r="AD186" s="33"/>
      <c r="AE186" s="33"/>
      <c r="AF186" s="50">
        <v>46306</v>
      </c>
      <c r="AG186" s="45"/>
      <c r="AH186" s="36"/>
      <c r="AI186" s="36"/>
    </row>
    <row r="187" spans="2:35" x14ac:dyDescent="0.3">
      <c r="B187" s="13">
        <v>46075</v>
      </c>
      <c r="C187" s="61">
        <v>16006</v>
      </c>
      <c r="D187" s="30" t="s">
        <v>823</v>
      </c>
      <c r="E187" s="30" t="s">
        <v>824</v>
      </c>
      <c r="F187" s="15" t="s">
        <v>755</v>
      </c>
      <c r="G187" s="69">
        <v>46093</v>
      </c>
      <c r="H187" s="15" t="s">
        <v>251</v>
      </c>
      <c r="I187" s="15"/>
      <c r="J187" s="29">
        <v>44470</v>
      </c>
      <c r="K187" s="29">
        <v>45870</v>
      </c>
      <c r="L187" s="29" t="s">
        <v>219</v>
      </c>
      <c r="M187" s="29" t="s">
        <v>119</v>
      </c>
      <c r="N187" s="29" t="s">
        <v>23</v>
      </c>
      <c r="O187" s="29" t="s">
        <v>214</v>
      </c>
      <c r="P187" s="32">
        <v>45292</v>
      </c>
      <c r="Q187" s="14"/>
      <c r="R187" s="37"/>
      <c r="S187" s="38"/>
      <c r="T187" s="30"/>
      <c r="U187" s="39"/>
      <c r="V187" s="40"/>
      <c r="W187" s="39"/>
      <c r="X187" s="41"/>
      <c r="Y187" s="9"/>
      <c r="Z187" s="9"/>
      <c r="AA187" s="9"/>
      <c r="AB187" s="7">
        <v>80713</v>
      </c>
      <c r="AC187" s="33"/>
      <c r="AD187" s="33"/>
      <c r="AE187" s="33"/>
      <c r="AF187" s="50">
        <v>46311</v>
      </c>
      <c r="AG187" s="45"/>
      <c r="AH187" s="36"/>
      <c r="AI187" s="36"/>
    </row>
    <row r="188" spans="2:35" x14ac:dyDescent="0.3">
      <c r="B188" s="13">
        <v>46075</v>
      </c>
      <c r="C188" s="61">
        <v>30017793</v>
      </c>
      <c r="D188" s="30" t="s">
        <v>830</v>
      </c>
      <c r="E188" s="30" t="s">
        <v>830</v>
      </c>
      <c r="F188" s="15" t="s">
        <v>761</v>
      </c>
      <c r="G188" s="69">
        <v>46093</v>
      </c>
      <c r="H188" s="15" t="s">
        <v>251</v>
      </c>
      <c r="I188" s="15"/>
      <c r="J188" s="29">
        <v>45672</v>
      </c>
      <c r="K188" s="29">
        <v>45915</v>
      </c>
      <c r="L188" s="29" t="s">
        <v>226</v>
      </c>
      <c r="M188" s="29" t="s">
        <v>313</v>
      </c>
      <c r="N188" s="29" t="s">
        <v>17</v>
      </c>
      <c r="O188" s="29" t="s">
        <v>221</v>
      </c>
      <c r="P188" s="32"/>
      <c r="Q188" s="14"/>
      <c r="R188" s="37"/>
      <c r="S188" s="38"/>
      <c r="T188" s="30"/>
      <c r="U188" s="39"/>
      <c r="V188" s="40"/>
      <c r="W188" s="39"/>
      <c r="X188" s="41"/>
      <c r="Y188" s="9"/>
      <c r="Z188" s="9"/>
      <c r="AA188" s="9"/>
      <c r="AB188" s="7">
        <v>7976</v>
      </c>
      <c r="AC188" s="33"/>
      <c r="AD188" s="33"/>
      <c r="AE188" s="33"/>
      <c r="AF188" s="50">
        <v>46317</v>
      </c>
      <c r="AG188" s="45"/>
      <c r="AH188" s="36"/>
      <c r="AI188" s="36"/>
    </row>
    <row r="189" spans="2:35" x14ac:dyDescent="0.3">
      <c r="B189" s="13">
        <v>46084</v>
      </c>
      <c r="C189" s="61">
        <v>10022144</v>
      </c>
      <c r="D189" s="61">
        <v>8801738640160</v>
      </c>
      <c r="E189" s="61">
        <v>8801738640163</v>
      </c>
      <c r="F189" s="15" t="s">
        <v>298</v>
      </c>
      <c r="G189" s="69">
        <v>46093</v>
      </c>
      <c r="H189" s="15" t="s">
        <v>251</v>
      </c>
      <c r="I189" s="15"/>
      <c r="J189" s="29">
        <v>45577</v>
      </c>
      <c r="K189" s="29">
        <v>45880</v>
      </c>
      <c r="L189" s="29" t="s">
        <v>219</v>
      </c>
      <c r="M189" s="29" t="s">
        <v>108</v>
      </c>
      <c r="N189" s="29" t="s">
        <v>23</v>
      </c>
      <c r="O189" s="29" t="s">
        <v>214</v>
      </c>
      <c r="P189" s="32"/>
      <c r="Q189" s="14"/>
      <c r="R189" s="37"/>
      <c r="S189" s="38"/>
      <c r="T189" s="30"/>
      <c r="U189" s="39"/>
      <c r="V189" s="40"/>
      <c r="W189" s="39"/>
      <c r="X189" s="41"/>
      <c r="Y189" s="9"/>
      <c r="Z189" s="9"/>
      <c r="AA189" s="9"/>
      <c r="AB189" s="7">
        <v>1501098</v>
      </c>
      <c r="AC189" s="33"/>
      <c r="AD189" s="33"/>
      <c r="AE189" s="33"/>
      <c r="AF189" s="50">
        <v>46327</v>
      </c>
      <c r="AG189" s="45"/>
      <c r="AH189" s="36"/>
      <c r="AI189" s="36"/>
    </row>
    <row r="190" spans="2:35" x14ac:dyDescent="0.3">
      <c r="B190" s="13">
        <v>46084</v>
      </c>
      <c r="C190" s="61">
        <v>15543</v>
      </c>
      <c r="D190" s="61">
        <v>8801733858289</v>
      </c>
      <c r="E190" s="61">
        <v>88000015543</v>
      </c>
      <c r="F190" s="15" t="s">
        <v>868</v>
      </c>
      <c r="G190" s="69">
        <v>46093</v>
      </c>
      <c r="H190" s="15" t="s">
        <v>251</v>
      </c>
      <c r="I190" s="15"/>
      <c r="J190" s="29">
        <v>44380</v>
      </c>
      <c r="K190" s="29">
        <v>45908</v>
      </c>
      <c r="L190" s="29" t="s">
        <v>219</v>
      </c>
      <c r="M190" s="29" t="s">
        <v>189</v>
      </c>
      <c r="N190" s="29" t="s">
        <v>23</v>
      </c>
      <c r="O190" s="29" t="s">
        <v>214</v>
      </c>
      <c r="P190" s="32">
        <v>45292</v>
      </c>
      <c r="Q190" s="14"/>
      <c r="R190" s="37"/>
      <c r="S190" s="38"/>
      <c r="T190" s="30"/>
      <c r="U190" s="39"/>
      <c r="V190" s="40"/>
      <c r="W190" s="39"/>
      <c r="X190" s="41"/>
      <c r="Y190" s="9"/>
      <c r="Z190" s="9"/>
      <c r="AA190" s="9"/>
      <c r="AB190" s="7">
        <v>169595</v>
      </c>
      <c r="AC190" s="33"/>
      <c r="AD190" s="33"/>
      <c r="AE190" s="33"/>
      <c r="AF190" s="50">
        <v>46348</v>
      </c>
      <c r="AG190" s="45"/>
      <c r="AH190" s="36"/>
      <c r="AI190" s="36"/>
    </row>
    <row r="191" spans="2:35" x14ac:dyDescent="0.3">
      <c r="B191" s="13">
        <v>46084</v>
      </c>
      <c r="C191" s="61">
        <v>10018042</v>
      </c>
      <c r="D191" s="61">
        <v>8801626780128</v>
      </c>
      <c r="E191" s="61">
        <v>1626780128</v>
      </c>
      <c r="F191" s="15" t="s">
        <v>873</v>
      </c>
      <c r="G191" s="69">
        <v>46093</v>
      </c>
      <c r="H191" s="15" t="s">
        <v>251</v>
      </c>
      <c r="I191" s="15"/>
      <c r="J191" s="29">
        <v>44925</v>
      </c>
      <c r="K191" s="29">
        <v>45931</v>
      </c>
      <c r="L191" s="29" t="s">
        <v>219</v>
      </c>
      <c r="M191" s="29" t="s">
        <v>109</v>
      </c>
      <c r="N191" s="29" t="s">
        <v>23</v>
      </c>
      <c r="O191" s="29" t="s">
        <v>214</v>
      </c>
      <c r="P191" s="32">
        <v>45292</v>
      </c>
      <c r="Q191" s="14"/>
      <c r="R191" s="37"/>
      <c r="S191" s="38"/>
      <c r="T191" s="30"/>
      <c r="U191" s="39"/>
      <c r="V191" s="40"/>
      <c r="W191" s="39"/>
      <c r="X191" s="41"/>
      <c r="Y191" s="9"/>
      <c r="Z191" s="9"/>
      <c r="AA191" s="9"/>
      <c r="AB191" s="7">
        <v>85050</v>
      </c>
      <c r="AC191" s="33"/>
      <c r="AD191" s="33"/>
      <c r="AE191" s="33"/>
      <c r="AF191" s="50">
        <v>46352</v>
      </c>
      <c r="AG191" s="45"/>
      <c r="AH191" s="36"/>
      <c r="AI191" s="36"/>
    </row>
    <row r="192" spans="2:35" x14ac:dyDescent="0.3">
      <c r="B192" s="13">
        <v>46084</v>
      </c>
      <c r="C192" s="61">
        <v>11533</v>
      </c>
      <c r="D192" s="61">
        <v>8801631446089</v>
      </c>
      <c r="E192" s="61">
        <v>88000011533</v>
      </c>
      <c r="F192" s="15" t="s">
        <v>882</v>
      </c>
      <c r="G192" s="69">
        <v>46093</v>
      </c>
      <c r="H192" s="15" t="s">
        <v>251</v>
      </c>
      <c r="I192" s="15"/>
      <c r="J192" s="29">
        <v>43356</v>
      </c>
      <c r="K192" s="29">
        <v>45901</v>
      </c>
      <c r="L192" s="29" t="s">
        <v>219</v>
      </c>
      <c r="M192" s="29" t="s">
        <v>118</v>
      </c>
      <c r="N192" s="29" t="s">
        <v>23</v>
      </c>
      <c r="O192" s="29" t="s">
        <v>214</v>
      </c>
      <c r="P192" s="32"/>
      <c r="Q192" s="14"/>
      <c r="R192" s="37"/>
      <c r="S192" s="38"/>
      <c r="T192" s="30"/>
      <c r="U192" s="39"/>
      <c r="V192" s="40"/>
      <c r="W192" s="39"/>
      <c r="X192" s="41"/>
      <c r="Y192" s="9"/>
      <c r="Z192" s="9"/>
      <c r="AA192" s="9"/>
      <c r="AB192" s="7">
        <v>384994</v>
      </c>
      <c r="AC192" s="33"/>
      <c r="AD192" s="33"/>
      <c r="AE192" s="33"/>
      <c r="AF192" s="50">
        <v>46362</v>
      </c>
      <c r="AG192" s="45"/>
      <c r="AH192" s="36"/>
      <c r="AI192" s="36"/>
    </row>
    <row r="193" spans="2:35" x14ac:dyDescent="0.3">
      <c r="B193" s="13">
        <v>46084</v>
      </c>
      <c r="C193" s="61">
        <v>10021931</v>
      </c>
      <c r="D193" s="61">
        <v>8801765497988</v>
      </c>
      <c r="E193" s="61">
        <v>8801765497988</v>
      </c>
      <c r="F193" s="15" t="s">
        <v>900</v>
      </c>
      <c r="G193" s="69">
        <v>46093</v>
      </c>
      <c r="H193" s="15" t="s">
        <v>251</v>
      </c>
      <c r="I193" s="15"/>
      <c r="J193" s="29">
        <v>45568</v>
      </c>
      <c r="K193" s="29">
        <v>45898</v>
      </c>
      <c r="L193" s="29" t="s">
        <v>218</v>
      </c>
      <c r="M193" s="29" t="s">
        <v>326</v>
      </c>
      <c r="N193" s="29" t="s">
        <v>30</v>
      </c>
      <c r="O193" s="29" t="s">
        <v>217</v>
      </c>
      <c r="P193" s="32"/>
      <c r="Q193" s="14"/>
      <c r="R193" s="37"/>
      <c r="S193" s="38"/>
      <c r="T193" s="30"/>
      <c r="U193" s="39"/>
      <c r="V193" s="40"/>
      <c r="W193" s="39"/>
      <c r="X193" s="41"/>
      <c r="Y193" s="9"/>
      <c r="Z193" s="9"/>
      <c r="AA193" s="9"/>
      <c r="AB193" s="7">
        <v>4243</v>
      </c>
      <c r="AC193" s="33"/>
      <c r="AD193" s="33"/>
      <c r="AE193" s="33"/>
      <c r="AF193" s="50">
        <v>46379</v>
      </c>
      <c r="AG193" s="45"/>
      <c r="AH193" s="36"/>
      <c r="AI193" s="36"/>
    </row>
    <row r="194" spans="2:35" x14ac:dyDescent="0.3">
      <c r="B194" s="13">
        <v>46055</v>
      </c>
      <c r="C194" s="61">
        <v>10019880</v>
      </c>
      <c r="D194" s="30" t="s">
        <v>793</v>
      </c>
      <c r="E194" s="30" t="s">
        <v>793</v>
      </c>
      <c r="F194" s="15" t="s">
        <v>729</v>
      </c>
      <c r="G194" s="69">
        <v>46093</v>
      </c>
      <c r="H194" s="15" t="s">
        <v>251</v>
      </c>
      <c r="I194" s="15"/>
      <c r="J194" s="29">
        <v>45224</v>
      </c>
      <c r="K194" s="29">
        <v>45870</v>
      </c>
      <c r="L194" s="29" t="s">
        <v>220</v>
      </c>
      <c r="M194" s="29" t="s">
        <v>128</v>
      </c>
      <c r="N194" s="29" t="s">
        <v>17</v>
      </c>
      <c r="O194" s="29" t="s">
        <v>221</v>
      </c>
      <c r="P194" s="32"/>
      <c r="Q194" s="14"/>
      <c r="R194" s="37"/>
      <c r="S194" s="38"/>
      <c r="T194" s="30"/>
      <c r="U194" s="39"/>
      <c r="V194" s="40"/>
      <c r="W194" s="39"/>
      <c r="X194" s="41"/>
      <c r="Y194" s="9"/>
      <c r="Z194" s="9"/>
      <c r="AA194" s="9"/>
      <c r="AB194" s="7">
        <v>24934</v>
      </c>
      <c r="AC194" s="33"/>
      <c r="AD194" s="33"/>
      <c r="AE194" s="33"/>
      <c r="AF194" s="50">
        <v>46280</v>
      </c>
      <c r="AG194" s="45"/>
      <c r="AH194" s="36"/>
      <c r="AI194" s="36"/>
    </row>
    <row r="195" spans="2:35" x14ac:dyDescent="0.3">
      <c r="B195" s="13">
        <v>46055</v>
      </c>
      <c r="C195" s="61">
        <v>10019960</v>
      </c>
      <c r="D195" s="30" t="s">
        <v>797</v>
      </c>
      <c r="E195" s="30" t="s">
        <v>797</v>
      </c>
      <c r="F195" s="15" t="s">
        <v>732</v>
      </c>
      <c r="G195" s="69">
        <v>46093</v>
      </c>
      <c r="H195" s="15" t="s">
        <v>251</v>
      </c>
      <c r="I195" s="15"/>
      <c r="J195" s="29">
        <v>45264</v>
      </c>
      <c r="K195" s="29">
        <v>45743</v>
      </c>
      <c r="L195" s="29" t="s">
        <v>219</v>
      </c>
      <c r="M195" s="29" t="s">
        <v>117</v>
      </c>
      <c r="N195" s="29" t="s">
        <v>23</v>
      </c>
      <c r="O195" s="29" t="s">
        <v>214</v>
      </c>
      <c r="P195" s="32"/>
      <c r="Q195" s="14"/>
      <c r="R195" s="37"/>
      <c r="S195" s="38"/>
      <c r="T195" s="30"/>
      <c r="U195" s="39"/>
      <c r="V195" s="40"/>
      <c r="W195" s="39"/>
      <c r="X195" s="41"/>
      <c r="Y195" s="9"/>
      <c r="Z195" s="9"/>
      <c r="AA195" s="9"/>
      <c r="AB195" s="7">
        <v>11808</v>
      </c>
      <c r="AC195" s="33"/>
      <c r="AD195" s="33"/>
      <c r="AE195" s="33"/>
      <c r="AF195" s="50">
        <v>46284</v>
      </c>
      <c r="AG195" s="45"/>
      <c r="AH195" s="36"/>
      <c r="AI195" s="36"/>
    </row>
    <row r="196" spans="2:35" x14ac:dyDescent="0.3">
      <c r="B196" s="13">
        <v>46040</v>
      </c>
      <c r="C196" s="61">
        <v>10021917</v>
      </c>
      <c r="D196" s="30" t="s">
        <v>617</v>
      </c>
      <c r="E196" s="30" t="s">
        <v>617</v>
      </c>
      <c r="F196" s="15" t="s">
        <v>405</v>
      </c>
      <c r="G196" s="69">
        <v>46096</v>
      </c>
      <c r="H196" s="15" t="s">
        <v>251</v>
      </c>
      <c r="I196" s="15"/>
      <c r="J196" s="29">
        <v>45567</v>
      </c>
      <c r="K196" s="29">
        <v>45931</v>
      </c>
      <c r="L196" s="29" t="s">
        <v>224</v>
      </c>
      <c r="M196" s="29" t="s">
        <v>266</v>
      </c>
      <c r="N196" s="29" t="s">
        <v>26</v>
      </c>
      <c r="O196" s="29" t="s">
        <v>217</v>
      </c>
      <c r="P196" s="32"/>
      <c r="Q196" s="14"/>
      <c r="R196" s="37"/>
      <c r="S196" s="38"/>
      <c r="T196" s="30"/>
      <c r="U196" s="39"/>
      <c r="V196" s="40"/>
      <c r="W196" s="39"/>
      <c r="X196" s="41"/>
      <c r="Y196" s="9"/>
      <c r="Z196" s="9"/>
      <c r="AA196" s="9"/>
      <c r="AB196" s="7">
        <v>25446</v>
      </c>
      <c r="AC196" s="33"/>
      <c r="AD196" s="33"/>
      <c r="AE196" s="33"/>
      <c r="AF196" s="50">
        <v>46221</v>
      </c>
      <c r="AG196" s="45"/>
      <c r="AH196" s="36"/>
      <c r="AI196" s="36"/>
    </row>
    <row r="197" spans="2:35" x14ac:dyDescent="0.3">
      <c r="B197" s="13">
        <v>46055</v>
      </c>
      <c r="C197" s="61">
        <v>10021704</v>
      </c>
      <c r="D197" s="30" t="s">
        <v>804</v>
      </c>
      <c r="E197" s="30" t="s">
        <v>804</v>
      </c>
      <c r="F197" s="15" t="s">
        <v>739</v>
      </c>
      <c r="G197" s="69">
        <v>46096</v>
      </c>
      <c r="H197" s="15" t="s">
        <v>251</v>
      </c>
      <c r="I197" s="15"/>
      <c r="J197" s="29">
        <v>45526</v>
      </c>
      <c r="K197" s="29">
        <v>45974</v>
      </c>
      <c r="L197" s="29" t="s">
        <v>769</v>
      </c>
      <c r="M197" s="29" t="s">
        <v>104</v>
      </c>
      <c r="N197" s="29" t="s">
        <v>21</v>
      </c>
      <c r="O197" s="29" t="s">
        <v>335</v>
      </c>
      <c r="P197" s="32"/>
      <c r="Q197" s="14"/>
      <c r="R197" s="37"/>
      <c r="S197" s="38"/>
      <c r="T197" s="30"/>
      <c r="U197" s="39"/>
      <c r="V197" s="40"/>
      <c r="W197" s="39"/>
      <c r="X197" s="41"/>
      <c r="Y197" s="9"/>
      <c r="Z197" s="9"/>
      <c r="AA197" s="9"/>
      <c r="AB197" s="7">
        <v>13012</v>
      </c>
      <c r="AC197" s="33"/>
      <c r="AD197" s="33"/>
      <c r="AE197" s="33"/>
      <c r="AF197" s="50">
        <v>46292</v>
      </c>
      <c r="AG197" s="45"/>
      <c r="AH197" s="36"/>
      <c r="AI197" s="36"/>
    </row>
    <row r="198" spans="2:35" x14ac:dyDescent="0.3">
      <c r="B198" s="13">
        <v>46084</v>
      </c>
      <c r="C198" s="61">
        <v>10019453</v>
      </c>
      <c r="D198" s="61">
        <v>8801894973200</v>
      </c>
      <c r="E198" s="61">
        <v>8801894973200</v>
      </c>
      <c r="F198" s="15" t="s">
        <v>857</v>
      </c>
      <c r="G198" s="69">
        <v>46096</v>
      </c>
      <c r="H198" s="15" t="s">
        <v>251</v>
      </c>
      <c r="I198" s="15"/>
      <c r="J198" s="29">
        <v>45173</v>
      </c>
      <c r="K198" s="29">
        <v>45953</v>
      </c>
      <c r="L198" s="29" t="s">
        <v>224</v>
      </c>
      <c r="M198" s="29" t="s">
        <v>194</v>
      </c>
      <c r="N198" s="29" t="s">
        <v>36</v>
      </c>
      <c r="O198" s="29" t="s">
        <v>217</v>
      </c>
      <c r="P198" s="32"/>
      <c r="Q198" s="14"/>
      <c r="R198" s="37"/>
      <c r="S198" s="38"/>
      <c r="T198" s="30"/>
      <c r="U198" s="39"/>
      <c r="V198" s="40"/>
      <c r="W198" s="39"/>
      <c r="X198" s="41"/>
      <c r="Y198" s="9"/>
      <c r="Z198" s="9"/>
      <c r="AA198" s="9"/>
      <c r="AB198" s="7">
        <v>49977</v>
      </c>
      <c r="AC198" s="33"/>
      <c r="AD198" s="33"/>
      <c r="AE198" s="33"/>
      <c r="AF198" s="50">
        <v>46338</v>
      </c>
      <c r="AG198" s="45"/>
      <c r="AH198" s="36"/>
      <c r="AI198" s="36"/>
    </row>
    <row r="199" spans="2:35" x14ac:dyDescent="0.3">
      <c r="B199" s="13">
        <v>46084</v>
      </c>
      <c r="C199" s="61">
        <v>10019458</v>
      </c>
      <c r="D199" s="61">
        <v>8801721523499</v>
      </c>
      <c r="E199" s="61">
        <v>8801721523499</v>
      </c>
      <c r="F199" s="15" t="s">
        <v>885</v>
      </c>
      <c r="G199" s="69">
        <v>46096</v>
      </c>
      <c r="H199" s="15" t="s">
        <v>251</v>
      </c>
      <c r="I199" s="15"/>
      <c r="J199" s="29">
        <v>45169</v>
      </c>
      <c r="K199" s="29">
        <v>45901</v>
      </c>
      <c r="L199" s="29" t="s">
        <v>219</v>
      </c>
      <c r="M199" s="29" t="s">
        <v>108</v>
      </c>
      <c r="N199" s="29" t="s">
        <v>23</v>
      </c>
      <c r="O199" s="29" t="s">
        <v>214</v>
      </c>
      <c r="P199" s="32"/>
      <c r="Q199" s="14"/>
      <c r="R199" s="37"/>
      <c r="S199" s="38"/>
      <c r="T199" s="30"/>
      <c r="U199" s="39"/>
      <c r="V199" s="40"/>
      <c r="W199" s="39"/>
      <c r="X199" s="41"/>
      <c r="Y199" s="9"/>
      <c r="Z199" s="9"/>
      <c r="AA199" s="9"/>
      <c r="AB199" s="7">
        <v>35311</v>
      </c>
      <c r="AC199" s="33"/>
      <c r="AD199" s="33"/>
      <c r="AE199" s="33"/>
      <c r="AF199" s="50">
        <v>46365</v>
      </c>
      <c r="AG199" s="45"/>
      <c r="AH199" s="36"/>
      <c r="AI199" s="36"/>
    </row>
    <row r="200" spans="2:35" x14ac:dyDescent="0.3">
      <c r="B200" s="13">
        <v>46084</v>
      </c>
      <c r="C200" s="61">
        <v>12161</v>
      </c>
      <c r="D200" s="61">
        <v>8801844192327</v>
      </c>
      <c r="E200" s="61">
        <v>8801844192327</v>
      </c>
      <c r="F200" s="15" t="s">
        <v>898</v>
      </c>
      <c r="G200" s="69">
        <v>46096</v>
      </c>
      <c r="H200" s="15" t="s">
        <v>251</v>
      </c>
      <c r="I200" s="15"/>
      <c r="J200" s="29">
        <v>43500</v>
      </c>
      <c r="K200" s="29">
        <v>46019</v>
      </c>
      <c r="L200" s="29" t="s">
        <v>677</v>
      </c>
      <c r="M200" s="29" t="s">
        <v>157</v>
      </c>
      <c r="N200" s="29" t="s">
        <v>19</v>
      </c>
      <c r="O200" s="29" t="s">
        <v>281</v>
      </c>
      <c r="P200" s="32">
        <v>45292</v>
      </c>
      <c r="Q200" s="14"/>
      <c r="R200" s="37"/>
      <c r="S200" s="38"/>
      <c r="T200" s="30"/>
      <c r="U200" s="39"/>
      <c r="V200" s="40"/>
      <c r="W200" s="39"/>
      <c r="X200" s="41"/>
      <c r="Y200" s="9"/>
      <c r="Z200" s="9"/>
      <c r="AA200" s="9"/>
      <c r="AB200" s="7">
        <v>843134</v>
      </c>
      <c r="AC200" s="33"/>
      <c r="AD200" s="33"/>
      <c r="AE200" s="33"/>
      <c r="AF200" s="50">
        <v>46377</v>
      </c>
      <c r="AG200" s="45"/>
      <c r="AH200" s="36"/>
      <c r="AI200" s="36"/>
    </row>
    <row r="201" spans="2:35" x14ac:dyDescent="0.3">
      <c r="B201" s="13">
        <v>46084</v>
      </c>
      <c r="C201" s="61">
        <v>8765</v>
      </c>
      <c r="D201" s="61">
        <v>8801923013015</v>
      </c>
      <c r="E201" s="61">
        <v>8800008765</v>
      </c>
      <c r="F201" s="15" t="s">
        <v>901</v>
      </c>
      <c r="G201" s="69">
        <v>46097</v>
      </c>
      <c r="H201" s="15" t="s">
        <v>251</v>
      </c>
      <c r="I201" s="15"/>
      <c r="J201" s="29">
        <v>42680</v>
      </c>
      <c r="K201" s="29">
        <v>45931</v>
      </c>
      <c r="L201" s="29" t="s">
        <v>216</v>
      </c>
      <c r="M201" s="29" t="s">
        <v>161</v>
      </c>
      <c r="N201" s="29" t="s">
        <v>23</v>
      </c>
      <c r="O201" s="29" t="s">
        <v>217</v>
      </c>
      <c r="P201" s="32">
        <v>45300</v>
      </c>
      <c r="Q201" s="14"/>
      <c r="R201" s="37"/>
      <c r="S201" s="38"/>
      <c r="T201" s="30"/>
      <c r="U201" s="39"/>
      <c r="V201" s="40"/>
      <c r="W201" s="39"/>
      <c r="X201" s="41"/>
      <c r="Y201" s="9"/>
      <c r="Z201" s="9"/>
      <c r="AA201" s="9"/>
      <c r="AB201" s="7">
        <v>492899</v>
      </c>
      <c r="AC201" s="33"/>
      <c r="AD201" s="33"/>
      <c r="AE201" s="33"/>
      <c r="AF201" s="50">
        <v>46380</v>
      </c>
      <c r="AG201" s="45"/>
      <c r="AH201" s="36"/>
      <c r="AI201" s="36"/>
    </row>
    <row r="202" spans="2:35" x14ac:dyDescent="0.3">
      <c r="B202" s="13">
        <v>46040</v>
      </c>
      <c r="C202" s="61">
        <v>10023359</v>
      </c>
      <c r="D202" s="30">
        <v>1517142853</v>
      </c>
      <c r="E202" s="30">
        <v>1758179469</v>
      </c>
      <c r="F202" s="15" t="s">
        <v>383</v>
      </c>
      <c r="G202" s="69">
        <v>46099</v>
      </c>
      <c r="H202" s="15" t="s">
        <v>251</v>
      </c>
      <c r="I202" s="15"/>
      <c r="J202" s="29">
        <v>45715</v>
      </c>
      <c r="K202" s="29">
        <v>45839</v>
      </c>
      <c r="L202" s="29" t="s">
        <v>211</v>
      </c>
      <c r="M202" s="29" t="s">
        <v>186</v>
      </c>
      <c r="N202" s="29" t="s">
        <v>23</v>
      </c>
      <c r="O202" s="29" t="s">
        <v>212</v>
      </c>
      <c r="P202" s="32"/>
      <c r="Q202" s="14"/>
      <c r="R202" s="37"/>
      <c r="S202" s="38"/>
      <c r="T202" s="30"/>
      <c r="U202" s="39"/>
      <c r="V202" s="40"/>
      <c r="W202" s="39"/>
      <c r="X202" s="41"/>
      <c r="Y202" s="9"/>
      <c r="Z202" s="9"/>
      <c r="AA202" s="9"/>
      <c r="AB202" s="7">
        <v>34080</v>
      </c>
      <c r="AC202" s="33"/>
      <c r="AD202" s="33"/>
      <c r="AE202" s="33"/>
      <c r="AF202" s="50">
        <f t="shared" ref="AF202" si="1">EDATE(B202,6)</f>
        <v>46221</v>
      </c>
      <c r="AG202" s="45"/>
      <c r="AH202" s="36"/>
      <c r="AI202" s="36"/>
    </row>
    <row r="203" spans="2:35" x14ac:dyDescent="0.3">
      <c r="B203" s="13">
        <v>46084</v>
      </c>
      <c r="C203" s="61">
        <v>10021041</v>
      </c>
      <c r="D203" s="61">
        <v>8801329090187</v>
      </c>
      <c r="E203" s="61">
        <v>8801329090187</v>
      </c>
      <c r="F203" s="15" t="s">
        <v>879</v>
      </c>
      <c r="G203" s="75">
        <v>46110</v>
      </c>
      <c r="H203" s="15" t="s">
        <v>251</v>
      </c>
      <c r="I203" s="15"/>
      <c r="J203" s="29">
        <v>45423</v>
      </c>
      <c r="K203" s="29">
        <v>45812</v>
      </c>
      <c r="L203" s="29" t="s">
        <v>211</v>
      </c>
      <c r="M203" s="29" t="s">
        <v>853</v>
      </c>
      <c r="N203" s="29" t="s">
        <v>23</v>
      </c>
      <c r="O203" s="29" t="s">
        <v>212</v>
      </c>
      <c r="P203" s="32"/>
      <c r="Q203" s="14"/>
      <c r="R203" s="37"/>
      <c r="S203" s="38"/>
      <c r="T203" s="30"/>
      <c r="U203" s="39"/>
      <c r="V203" s="40"/>
      <c r="W203" s="39"/>
      <c r="X203" s="41"/>
      <c r="Y203" s="9"/>
      <c r="Z203" s="9"/>
      <c r="AA203" s="9"/>
      <c r="AB203" s="7">
        <v>25572</v>
      </c>
      <c r="AC203" s="33"/>
      <c r="AD203" s="33"/>
      <c r="AE203" s="33"/>
      <c r="AF203" s="50">
        <v>46359</v>
      </c>
    </row>
    <row r="204" spans="2:35" x14ac:dyDescent="0.3">
      <c r="B204" s="13">
        <v>46084</v>
      </c>
      <c r="C204" s="61">
        <v>9149</v>
      </c>
      <c r="D204" s="61">
        <v>8801833562868</v>
      </c>
      <c r="E204" s="61">
        <v>1833562868</v>
      </c>
      <c r="F204" s="15" t="s">
        <v>329</v>
      </c>
      <c r="G204" s="75">
        <v>46110</v>
      </c>
      <c r="H204" s="15" t="s">
        <v>251</v>
      </c>
      <c r="I204" s="15"/>
      <c r="J204" s="29">
        <v>42739</v>
      </c>
      <c r="K204" s="29">
        <v>45962</v>
      </c>
      <c r="L204" s="29" t="s">
        <v>219</v>
      </c>
      <c r="M204" s="29" t="s">
        <v>97</v>
      </c>
      <c r="N204" s="29" t="s">
        <v>23</v>
      </c>
      <c r="O204" s="29" t="s">
        <v>214</v>
      </c>
      <c r="P204" s="32"/>
      <c r="Q204" s="14"/>
      <c r="R204" s="37"/>
      <c r="S204" s="38"/>
      <c r="T204" s="30"/>
      <c r="U204" s="39"/>
      <c r="V204" s="40"/>
      <c r="W204" s="39"/>
      <c r="X204" s="41"/>
      <c r="Y204" s="9"/>
      <c r="Z204" s="9"/>
      <c r="AA204" s="9"/>
      <c r="AB204" s="7">
        <v>491338</v>
      </c>
      <c r="AC204" s="33"/>
      <c r="AD204" s="33"/>
      <c r="AE204" s="33"/>
      <c r="AF204" s="50">
        <v>46381</v>
      </c>
    </row>
    <row r="205" spans="2:35" x14ac:dyDescent="0.3">
      <c r="B205" s="13">
        <v>46055</v>
      </c>
      <c r="C205" s="61">
        <v>10018468</v>
      </c>
      <c r="D205" s="30" t="s">
        <v>807</v>
      </c>
      <c r="E205" s="30" t="s">
        <v>807</v>
      </c>
      <c r="F205" s="15" t="s">
        <v>741</v>
      </c>
      <c r="G205" s="75">
        <v>46111</v>
      </c>
      <c r="H205" s="15" t="s">
        <v>251</v>
      </c>
      <c r="I205" s="15"/>
      <c r="J205" s="29">
        <v>45012</v>
      </c>
      <c r="K205" s="29">
        <v>45785</v>
      </c>
      <c r="L205" s="29" t="s">
        <v>232</v>
      </c>
      <c r="M205" s="29" t="s">
        <v>296</v>
      </c>
      <c r="N205" s="29" t="s">
        <v>30</v>
      </c>
      <c r="O205" s="29" t="s">
        <v>223</v>
      </c>
      <c r="P205" s="32">
        <v>45658</v>
      </c>
      <c r="Q205" s="14"/>
      <c r="R205" s="37"/>
      <c r="S205" s="38"/>
      <c r="T205" s="30"/>
      <c r="U205" s="39"/>
      <c r="V205" s="40"/>
      <c r="W205" s="39"/>
      <c r="X205" s="41"/>
      <c r="Y205" s="9"/>
      <c r="Z205" s="9"/>
      <c r="AA205" s="9"/>
      <c r="AB205" s="7">
        <v>44081</v>
      </c>
      <c r="AC205" s="33"/>
      <c r="AD205" s="33"/>
      <c r="AE205" s="33"/>
      <c r="AF205" s="50">
        <v>46295</v>
      </c>
    </row>
    <row r="206" spans="2:35" x14ac:dyDescent="0.3">
      <c r="B206" s="13">
        <v>46040</v>
      </c>
      <c r="C206" s="61">
        <v>10022855</v>
      </c>
      <c r="D206" s="30" t="s">
        <v>640</v>
      </c>
      <c r="E206" s="30" t="s">
        <v>640</v>
      </c>
      <c r="F206" s="15" t="s">
        <v>469</v>
      </c>
      <c r="G206" s="75">
        <v>46112</v>
      </c>
      <c r="H206" s="15" t="s">
        <v>251</v>
      </c>
      <c r="I206" s="15"/>
      <c r="J206" s="29">
        <v>45657</v>
      </c>
      <c r="K206" s="29">
        <v>45860</v>
      </c>
      <c r="L206" s="29" t="s">
        <v>211</v>
      </c>
      <c r="M206" s="29" t="s">
        <v>195</v>
      </c>
      <c r="N206" s="29" t="s">
        <v>16</v>
      </c>
      <c r="O206" s="29" t="s">
        <v>212</v>
      </c>
      <c r="P206" s="32"/>
      <c r="Q206" s="14"/>
      <c r="R206" s="37"/>
      <c r="S206" s="38"/>
      <c r="T206" s="30"/>
      <c r="U206" s="39"/>
      <c r="V206" s="40"/>
      <c r="W206" s="39"/>
      <c r="X206" s="41"/>
      <c r="Y206" s="9"/>
      <c r="Z206" s="9"/>
      <c r="AA206" s="9"/>
      <c r="AB206" s="7">
        <v>9872</v>
      </c>
      <c r="AC206" s="33"/>
      <c r="AD206" s="33"/>
      <c r="AE206" s="33"/>
      <c r="AF206" s="50">
        <f t="shared" ref="AF206" si="2">EDATE(B206,6)</f>
        <v>46221</v>
      </c>
    </row>
    <row r="207" spans="2:35" x14ac:dyDescent="0.3">
      <c r="B207" s="13">
        <v>46040</v>
      </c>
      <c r="C207" s="61">
        <v>10020400</v>
      </c>
      <c r="D207" s="30" t="s">
        <v>576</v>
      </c>
      <c r="E207" s="30" t="s">
        <v>576</v>
      </c>
      <c r="F207" s="15" t="s">
        <v>387</v>
      </c>
      <c r="G207" s="75">
        <v>46113</v>
      </c>
      <c r="H207" s="15" t="s">
        <v>251</v>
      </c>
      <c r="I207" s="15"/>
      <c r="J207" s="29">
        <v>45323</v>
      </c>
      <c r="K207" s="29">
        <v>45717</v>
      </c>
      <c r="L207" s="29" t="s">
        <v>216</v>
      </c>
      <c r="M207" s="29" t="s">
        <v>193</v>
      </c>
      <c r="N207" s="29" t="s">
        <v>16</v>
      </c>
      <c r="O207" s="29" t="s">
        <v>217</v>
      </c>
      <c r="P207" s="32"/>
      <c r="Q207" s="14"/>
      <c r="R207" s="37"/>
      <c r="S207" s="38"/>
      <c r="T207" s="30"/>
      <c r="U207" s="39"/>
      <c r="V207" s="40"/>
      <c r="W207" s="39"/>
      <c r="X207" s="41"/>
      <c r="Y207" s="9"/>
      <c r="Z207" s="9"/>
      <c r="AA207" s="9"/>
      <c r="AB207" s="7">
        <v>29236</v>
      </c>
      <c r="AC207" s="33"/>
      <c r="AD207" s="33"/>
      <c r="AE207" s="33"/>
      <c r="AF207" s="50">
        <v>46221</v>
      </c>
    </row>
    <row r="208" spans="2:35" x14ac:dyDescent="0.3">
      <c r="B208" s="13">
        <v>46084</v>
      </c>
      <c r="C208" s="61">
        <v>10020699</v>
      </c>
      <c r="D208" s="61">
        <v>8801735162505</v>
      </c>
      <c r="E208" s="61">
        <v>8801735162505</v>
      </c>
      <c r="F208" s="15" t="s">
        <v>877</v>
      </c>
      <c r="G208" s="75">
        <v>46113</v>
      </c>
      <c r="H208" s="15" t="s">
        <v>251</v>
      </c>
      <c r="I208" s="15"/>
      <c r="J208" s="29">
        <v>45352</v>
      </c>
      <c r="K208" s="29">
        <v>45901</v>
      </c>
      <c r="L208" s="29" t="s">
        <v>219</v>
      </c>
      <c r="M208" s="29" t="s">
        <v>119</v>
      </c>
      <c r="N208" s="29" t="s">
        <v>23</v>
      </c>
      <c r="O208" s="29" t="s">
        <v>214</v>
      </c>
      <c r="P208" s="32"/>
      <c r="Q208" s="14"/>
      <c r="R208" s="37"/>
      <c r="S208" s="38"/>
      <c r="T208" s="30"/>
      <c r="U208" s="39"/>
      <c r="V208" s="40"/>
      <c r="W208" s="39"/>
      <c r="X208" s="41"/>
      <c r="Y208" s="9"/>
      <c r="Z208" s="9"/>
      <c r="AA208" s="9"/>
      <c r="AB208" s="7">
        <v>33158</v>
      </c>
      <c r="AC208" s="33"/>
      <c r="AD208" s="33"/>
      <c r="AE208" s="33"/>
      <c r="AF208" s="50">
        <v>46356</v>
      </c>
    </row>
    <row r="209" spans="2:32" x14ac:dyDescent="0.3">
      <c r="B209" s="13">
        <v>46084</v>
      </c>
      <c r="C209" s="61">
        <v>13395</v>
      </c>
      <c r="D209" s="61">
        <v>8801894930791</v>
      </c>
      <c r="E209" s="61">
        <v>1894930791</v>
      </c>
      <c r="F209" s="15" t="s">
        <v>869</v>
      </c>
      <c r="G209" s="75">
        <v>46114</v>
      </c>
      <c r="H209" s="15" t="s">
        <v>251</v>
      </c>
      <c r="I209" s="15"/>
      <c r="J209" s="29">
        <v>43808</v>
      </c>
      <c r="K209" s="29">
        <v>45931</v>
      </c>
      <c r="L209" s="29" t="s">
        <v>216</v>
      </c>
      <c r="M209" s="29" t="s">
        <v>870</v>
      </c>
      <c r="N209" s="29" t="s">
        <v>24</v>
      </c>
      <c r="O209" s="29" t="s">
        <v>217</v>
      </c>
      <c r="P209" s="32">
        <v>45536</v>
      </c>
      <c r="Q209" s="14"/>
      <c r="R209" s="37"/>
      <c r="S209" s="38"/>
      <c r="T209" s="30"/>
      <c r="U209" s="39"/>
      <c r="V209" s="40"/>
      <c r="W209" s="39"/>
      <c r="X209" s="41"/>
      <c r="Y209" s="9"/>
      <c r="Z209" s="9"/>
      <c r="AA209" s="9"/>
      <c r="AB209" s="7">
        <v>365932</v>
      </c>
      <c r="AC209" s="33"/>
      <c r="AD209" s="33"/>
      <c r="AE209" s="33"/>
      <c r="AF209" s="50">
        <v>46349</v>
      </c>
    </row>
    <row r="210" spans="2:32" x14ac:dyDescent="0.3">
      <c r="B210" s="13">
        <v>46084</v>
      </c>
      <c r="C210" s="61">
        <v>11779</v>
      </c>
      <c r="D210" s="61">
        <v>8801722890442</v>
      </c>
      <c r="E210" s="61">
        <v>88000011779</v>
      </c>
      <c r="F210" s="15" t="s">
        <v>871</v>
      </c>
      <c r="G210" s="75">
        <v>46114</v>
      </c>
      <c r="H210" s="15" t="s">
        <v>251</v>
      </c>
      <c r="I210" s="15"/>
      <c r="J210" s="29">
        <v>43419</v>
      </c>
      <c r="K210" s="29">
        <v>45658</v>
      </c>
      <c r="L210" s="29" t="s">
        <v>213</v>
      </c>
      <c r="M210" s="29" t="s">
        <v>108</v>
      </c>
      <c r="N210" s="29" t="s">
        <v>23</v>
      </c>
      <c r="O210" s="29" t="s">
        <v>214</v>
      </c>
      <c r="P210" s="32">
        <v>44562</v>
      </c>
      <c r="Q210" s="14"/>
      <c r="R210" s="37"/>
      <c r="S210" s="38"/>
      <c r="T210" s="30"/>
      <c r="U210" s="39"/>
      <c r="V210" s="40"/>
      <c r="W210" s="39"/>
      <c r="X210" s="41"/>
      <c r="Y210" s="9"/>
      <c r="Z210" s="9"/>
      <c r="AA210" s="9"/>
      <c r="AB210" s="7">
        <v>317925</v>
      </c>
      <c r="AC210" s="33"/>
      <c r="AD210" s="33"/>
      <c r="AE210" s="33"/>
      <c r="AF210" s="50">
        <v>46350</v>
      </c>
    </row>
    <row r="211" spans="2:32" x14ac:dyDescent="0.3">
      <c r="B211" s="13">
        <v>46040</v>
      </c>
      <c r="C211" s="61">
        <v>10020621</v>
      </c>
      <c r="D211" s="30" t="s">
        <v>581</v>
      </c>
      <c r="E211" s="30" t="s">
        <v>581</v>
      </c>
      <c r="F211" s="15" t="s">
        <v>582</v>
      </c>
      <c r="G211" s="69">
        <v>46117</v>
      </c>
      <c r="H211" s="15" t="s">
        <v>251</v>
      </c>
      <c r="I211" s="15"/>
      <c r="J211" s="29">
        <v>45342</v>
      </c>
      <c r="K211" s="29">
        <v>45473</v>
      </c>
      <c r="L211" s="29" t="s">
        <v>211</v>
      </c>
      <c r="M211" s="29" t="s">
        <v>190</v>
      </c>
      <c r="N211" s="29" t="s">
        <v>23</v>
      </c>
      <c r="O211" s="29" t="s">
        <v>212</v>
      </c>
      <c r="P211" s="32"/>
      <c r="Q211" s="14"/>
      <c r="R211" s="37"/>
      <c r="S211" s="38"/>
      <c r="T211" s="30"/>
      <c r="U211" s="39"/>
      <c r="V211" s="40"/>
      <c r="W211" s="39"/>
      <c r="X211" s="41"/>
      <c r="Y211" s="9"/>
      <c r="Z211" s="9"/>
      <c r="AA211" s="9"/>
      <c r="AB211" s="7">
        <v>11740</v>
      </c>
      <c r="AC211" s="33"/>
      <c r="AD211" s="33"/>
      <c r="AE211" s="33"/>
      <c r="AF211" s="50">
        <f t="shared" ref="AF211:AF212" si="3">EDATE(B211,6)</f>
        <v>46221</v>
      </c>
    </row>
    <row r="212" spans="2:32" x14ac:dyDescent="0.3">
      <c r="B212" s="13">
        <v>46040</v>
      </c>
      <c r="C212" s="61">
        <v>10021048</v>
      </c>
      <c r="D212" s="30" t="s">
        <v>593</v>
      </c>
      <c r="E212" s="30" t="s">
        <v>593</v>
      </c>
      <c r="F212" s="15" t="s">
        <v>11</v>
      </c>
      <c r="G212" s="69">
        <v>46117</v>
      </c>
      <c r="H212" s="15" t="s">
        <v>251</v>
      </c>
      <c r="I212" s="15"/>
      <c r="J212" s="29">
        <v>45426</v>
      </c>
      <c r="K212" s="29">
        <v>45834</v>
      </c>
      <c r="L212" s="29" t="s">
        <v>211</v>
      </c>
      <c r="M212" s="29" t="s">
        <v>132</v>
      </c>
      <c r="N212" s="29" t="s">
        <v>23</v>
      </c>
      <c r="O212" s="29" t="s">
        <v>212</v>
      </c>
      <c r="P212" s="32"/>
      <c r="Q212" s="14"/>
      <c r="R212" s="37"/>
      <c r="S212" s="38"/>
      <c r="T212" s="30"/>
      <c r="U212" s="39"/>
      <c r="V212" s="40"/>
      <c r="W212" s="39"/>
      <c r="X212" s="41"/>
      <c r="Y212" s="9"/>
      <c r="Z212" s="9"/>
      <c r="AA212" s="9"/>
      <c r="AB212" s="7">
        <v>8312</v>
      </c>
      <c r="AC212" s="33"/>
      <c r="AD212" s="33"/>
      <c r="AE212" s="33"/>
      <c r="AF212" s="50">
        <f t="shared" si="3"/>
        <v>46221</v>
      </c>
    </row>
    <row r="213" spans="2:32" x14ac:dyDescent="0.3">
      <c r="B213" s="13">
        <v>46040</v>
      </c>
      <c r="C213" s="61">
        <v>10022844</v>
      </c>
      <c r="D213" s="30" t="s">
        <v>639</v>
      </c>
      <c r="E213" s="30" t="s">
        <v>639</v>
      </c>
      <c r="F213" s="15" t="s">
        <v>412</v>
      </c>
      <c r="G213" s="69">
        <v>46118</v>
      </c>
      <c r="H213" s="15" t="s">
        <v>251</v>
      </c>
      <c r="I213" s="15"/>
      <c r="J213" s="29">
        <v>45658</v>
      </c>
      <c r="K213" s="29">
        <v>45752</v>
      </c>
      <c r="L213" s="29" t="s">
        <v>211</v>
      </c>
      <c r="M213" s="29" t="s">
        <v>193</v>
      </c>
      <c r="N213" s="29" t="s">
        <v>16</v>
      </c>
      <c r="O213" s="29" t="s">
        <v>212</v>
      </c>
      <c r="P213" s="32"/>
      <c r="Q213" s="14"/>
      <c r="R213" s="37"/>
      <c r="S213" s="38"/>
      <c r="T213" s="30"/>
      <c r="U213" s="39"/>
      <c r="V213" s="40"/>
      <c r="W213" s="39"/>
      <c r="X213" s="41"/>
      <c r="Y213" s="9"/>
      <c r="Z213" s="9"/>
      <c r="AA213" s="9"/>
      <c r="AB213" s="7">
        <v>14467</v>
      </c>
      <c r="AC213" s="33"/>
      <c r="AD213" s="33"/>
      <c r="AE213" s="33"/>
      <c r="AF213" s="50">
        <v>46221</v>
      </c>
    </row>
    <row r="214" spans="2:32" x14ac:dyDescent="0.3">
      <c r="B214" s="13">
        <v>46055</v>
      </c>
      <c r="C214" s="61">
        <v>10019285</v>
      </c>
      <c r="D214" s="30">
        <v>1776758858</v>
      </c>
      <c r="E214" s="30" t="s">
        <v>783</v>
      </c>
      <c r="F214" s="15" t="s">
        <v>720</v>
      </c>
      <c r="G214" s="69">
        <v>46118</v>
      </c>
      <c r="H214" s="15" t="s">
        <v>251</v>
      </c>
      <c r="I214" s="15"/>
      <c r="J214" s="29">
        <v>45130</v>
      </c>
      <c r="K214" s="29">
        <v>45876</v>
      </c>
      <c r="L214" s="29" t="s">
        <v>211</v>
      </c>
      <c r="M214" s="29" t="s">
        <v>115</v>
      </c>
      <c r="N214" s="29" t="s">
        <v>23</v>
      </c>
      <c r="O214" s="29" t="s">
        <v>212</v>
      </c>
      <c r="P214" s="32"/>
      <c r="Q214" s="14"/>
      <c r="R214" s="37"/>
      <c r="S214" s="38"/>
      <c r="T214" s="30"/>
      <c r="U214" s="39"/>
      <c r="V214" s="40"/>
      <c r="W214" s="39"/>
      <c r="X214" s="41"/>
      <c r="Y214" s="9"/>
      <c r="Z214" s="9"/>
      <c r="AA214" s="9"/>
      <c r="AB214" s="7">
        <v>51404</v>
      </c>
      <c r="AC214" s="33"/>
      <c r="AD214" s="33"/>
      <c r="AE214" s="33"/>
      <c r="AF214" s="50">
        <v>46270</v>
      </c>
    </row>
    <row r="215" spans="2:32" x14ac:dyDescent="0.3">
      <c r="B215" s="13">
        <v>46055</v>
      </c>
      <c r="C215" s="61">
        <v>10022512</v>
      </c>
      <c r="D215" s="30" t="s">
        <v>285</v>
      </c>
      <c r="E215" s="30">
        <v>1715137808</v>
      </c>
      <c r="F215" s="15" t="s">
        <v>737</v>
      </c>
      <c r="G215" s="69">
        <v>46118</v>
      </c>
      <c r="H215" s="15" t="s">
        <v>251</v>
      </c>
      <c r="I215" s="15"/>
      <c r="J215" s="29">
        <v>45644</v>
      </c>
      <c r="K215" s="29">
        <v>45668</v>
      </c>
      <c r="L215" s="29" t="s">
        <v>211</v>
      </c>
      <c r="M215" s="29" t="s">
        <v>145</v>
      </c>
      <c r="N215" s="29" t="s">
        <v>24</v>
      </c>
      <c r="O215" s="29" t="s">
        <v>212</v>
      </c>
      <c r="P215" s="32"/>
      <c r="Q215" s="14"/>
      <c r="R215" s="37"/>
      <c r="S215" s="38"/>
      <c r="T215" s="30"/>
      <c r="U215" s="39"/>
      <c r="V215" s="40"/>
      <c r="W215" s="39"/>
      <c r="X215" s="41"/>
      <c r="Y215" s="9"/>
      <c r="Z215" s="9"/>
      <c r="AA215" s="9"/>
      <c r="AB215" s="7">
        <v>7470</v>
      </c>
      <c r="AC215" s="33"/>
      <c r="AD215" s="33"/>
      <c r="AE215" s="33"/>
      <c r="AF215" s="50">
        <v>46290</v>
      </c>
    </row>
    <row r="216" spans="2:32" x14ac:dyDescent="0.3">
      <c r="B216" s="13">
        <v>46084</v>
      </c>
      <c r="C216" s="61">
        <v>10275</v>
      </c>
      <c r="D216" s="61">
        <v>8801852062007</v>
      </c>
      <c r="E216" s="61">
        <v>1852062007</v>
      </c>
      <c r="F216" s="15" t="s">
        <v>851</v>
      </c>
      <c r="G216" s="69">
        <v>46118</v>
      </c>
      <c r="H216" s="15" t="s">
        <v>251</v>
      </c>
      <c r="I216" s="15"/>
      <c r="J216" s="29">
        <v>43055</v>
      </c>
      <c r="K216" s="29">
        <v>45962</v>
      </c>
      <c r="L216" s="29" t="s">
        <v>219</v>
      </c>
      <c r="M216" s="29" t="s">
        <v>148</v>
      </c>
      <c r="N216" s="29" t="s">
        <v>23</v>
      </c>
      <c r="O216" s="29" t="s">
        <v>214</v>
      </c>
      <c r="P216" s="32">
        <v>45658</v>
      </c>
      <c r="Q216" s="14"/>
      <c r="R216" s="37"/>
      <c r="S216" s="38"/>
      <c r="T216" s="30"/>
      <c r="U216" s="39"/>
      <c r="V216" s="40"/>
      <c r="W216" s="39"/>
      <c r="X216" s="41"/>
      <c r="Y216" s="9"/>
      <c r="Z216" s="9"/>
      <c r="AA216" s="9"/>
      <c r="AB216" s="7">
        <v>394719</v>
      </c>
      <c r="AC216" s="33"/>
      <c r="AD216" s="33"/>
      <c r="AE216" s="33"/>
      <c r="AF216" s="50">
        <v>46331</v>
      </c>
    </row>
    <row r="217" spans="2:32" x14ac:dyDescent="0.3">
      <c r="B217" s="13">
        <v>46084</v>
      </c>
      <c r="C217" s="61">
        <v>13082</v>
      </c>
      <c r="D217" s="61">
        <v>8801844275202</v>
      </c>
      <c r="E217" s="61">
        <v>1844275202</v>
      </c>
      <c r="F217" s="15" t="s">
        <v>854</v>
      </c>
      <c r="G217" s="69">
        <v>46118</v>
      </c>
      <c r="H217" s="15" t="s">
        <v>251</v>
      </c>
      <c r="I217" s="15"/>
      <c r="J217" s="29">
        <v>43722</v>
      </c>
      <c r="K217" s="29">
        <v>45961</v>
      </c>
      <c r="L217" s="29" t="s">
        <v>219</v>
      </c>
      <c r="M217" s="29" t="s">
        <v>100</v>
      </c>
      <c r="N217" s="29" t="s">
        <v>24</v>
      </c>
      <c r="O217" s="29" t="s">
        <v>214</v>
      </c>
      <c r="P217" s="32"/>
      <c r="Q217" s="14"/>
      <c r="R217" s="37"/>
      <c r="S217" s="38"/>
      <c r="T217" s="30"/>
      <c r="U217" s="39"/>
      <c r="V217" s="40"/>
      <c r="W217" s="39"/>
      <c r="X217" s="41"/>
      <c r="Y217" s="9"/>
      <c r="Z217" s="9"/>
      <c r="AA217" s="9"/>
      <c r="AB217" s="7">
        <v>393760</v>
      </c>
      <c r="AC217" s="33"/>
      <c r="AD217" s="33"/>
      <c r="AE217" s="33"/>
      <c r="AF217" s="50">
        <v>46333</v>
      </c>
    </row>
    <row r="218" spans="2:32" x14ac:dyDescent="0.3">
      <c r="B218" s="13">
        <v>46084</v>
      </c>
      <c r="C218" s="61">
        <v>10017855</v>
      </c>
      <c r="D218" s="61">
        <v>8801306962170</v>
      </c>
      <c r="E218" s="61">
        <v>1306962170</v>
      </c>
      <c r="F218" s="15" t="s">
        <v>855</v>
      </c>
      <c r="G218" s="69">
        <v>46118</v>
      </c>
      <c r="H218" s="15" t="s">
        <v>251</v>
      </c>
      <c r="I218" s="15"/>
      <c r="J218" s="29">
        <v>44864</v>
      </c>
      <c r="K218" s="29">
        <v>45948</v>
      </c>
      <c r="L218" s="29" t="s">
        <v>220</v>
      </c>
      <c r="M218" s="29" t="s">
        <v>274</v>
      </c>
      <c r="N218" s="29" t="s">
        <v>17</v>
      </c>
      <c r="O218" s="29" t="s">
        <v>221</v>
      </c>
      <c r="P218" s="32"/>
      <c r="Q218" s="14"/>
      <c r="R218" s="37"/>
      <c r="S218" s="38"/>
      <c r="T218" s="30"/>
      <c r="U218" s="39"/>
      <c r="V218" s="40"/>
      <c r="W218" s="39"/>
      <c r="X218" s="41"/>
      <c r="Y218" s="9"/>
      <c r="Z218" s="9"/>
      <c r="AA218" s="9"/>
      <c r="AB218" s="7">
        <v>60845</v>
      </c>
      <c r="AC218" s="33"/>
      <c r="AD218" s="33"/>
      <c r="AE218" s="33"/>
      <c r="AF218" s="50">
        <v>46334</v>
      </c>
    </row>
    <row r="219" spans="2:32" x14ac:dyDescent="0.3">
      <c r="B219" s="13">
        <v>46084</v>
      </c>
      <c r="C219" s="61">
        <v>10021761</v>
      </c>
      <c r="D219" s="61">
        <v>8801741508732</v>
      </c>
      <c r="E219" s="61">
        <v>8801741508732</v>
      </c>
      <c r="F219" s="15" t="s">
        <v>856</v>
      </c>
      <c r="G219" s="69">
        <v>46118</v>
      </c>
      <c r="H219" s="15" t="s">
        <v>251</v>
      </c>
      <c r="I219" s="15"/>
      <c r="J219" s="29">
        <v>45538</v>
      </c>
      <c r="K219" s="29">
        <v>45908</v>
      </c>
      <c r="L219" s="29" t="s">
        <v>211</v>
      </c>
      <c r="M219" s="29" t="s">
        <v>116</v>
      </c>
      <c r="N219" s="29" t="s">
        <v>24</v>
      </c>
      <c r="O219" s="29" t="s">
        <v>212</v>
      </c>
      <c r="P219" s="32"/>
      <c r="Q219" s="14"/>
      <c r="R219" s="37"/>
      <c r="S219" s="38"/>
      <c r="T219" s="30"/>
      <c r="U219" s="39"/>
      <c r="V219" s="40"/>
      <c r="W219" s="39"/>
      <c r="X219" s="41"/>
      <c r="Y219" s="9"/>
      <c r="Z219" s="9"/>
      <c r="AA219" s="9"/>
      <c r="AB219" s="7">
        <v>23050</v>
      </c>
      <c r="AC219" s="33"/>
      <c r="AD219" s="33"/>
      <c r="AE219" s="33"/>
      <c r="AF219" s="50">
        <v>46336</v>
      </c>
    </row>
    <row r="220" spans="2:32" x14ac:dyDescent="0.3">
      <c r="B220" s="13">
        <v>46084</v>
      </c>
      <c r="C220" s="61">
        <v>10017029</v>
      </c>
      <c r="D220" s="61">
        <v>8801718828239</v>
      </c>
      <c r="E220" s="61">
        <v>1718828239</v>
      </c>
      <c r="F220" s="15" t="s">
        <v>858</v>
      </c>
      <c r="G220" s="69">
        <v>46118</v>
      </c>
      <c r="H220" s="15" t="s">
        <v>251</v>
      </c>
      <c r="I220" s="15"/>
      <c r="J220" s="29">
        <v>44732</v>
      </c>
      <c r="K220" s="29">
        <v>45444</v>
      </c>
      <c r="L220" s="29" t="s">
        <v>681</v>
      </c>
      <c r="M220" s="29" t="s">
        <v>859</v>
      </c>
      <c r="N220" s="29" t="s">
        <v>17</v>
      </c>
      <c r="O220" s="29" t="s">
        <v>212</v>
      </c>
      <c r="P220" s="32"/>
      <c r="Q220" s="14"/>
      <c r="R220" s="37"/>
      <c r="S220" s="38"/>
      <c r="T220" s="30"/>
      <c r="U220" s="39"/>
      <c r="V220" s="40"/>
      <c r="W220" s="39"/>
      <c r="X220" s="41"/>
      <c r="Y220" s="9"/>
      <c r="Z220" s="9"/>
      <c r="AA220" s="9"/>
      <c r="AB220" s="7">
        <v>38536</v>
      </c>
      <c r="AC220" s="33"/>
      <c r="AD220" s="33"/>
      <c r="AE220" s="33"/>
      <c r="AF220" s="50">
        <v>46339</v>
      </c>
    </row>
    <row r="221" spans="2:32" x14ac:dyDescent="0.3">
      <c r="B221" s="13">
        <v>46084</v>
      </c>
      <c r="C221" s="61">
        <v>10024009</v>
      </c>
      <c r="D221" s="61">
        <v>8801934909581</v>
      </c>
      <c r="E221" s="61">
        <v>8801934909581</v>
      </c>
      <c r="F221" s="15" t="s">
        <v>862</v>
      </c>
      <c r="G221" s="69">
        <v>46118</v>
      </c>
      <c r="H221" s="15" t="s">
        <v>251</v>
      </c>
      <c r="I221" s="15"/>
      <c r="J221" s="29">
        <v>45846</v>
      </c>
      <c r="K221" s="29">
        <v>45962</v>
      </c>
      <c r="L221" s="29" t="s">
        <v>219</v>
      </c>
      <c r="M221" s="29" t="s">
        <v>129</v>
      </c>
      <c r="N221" s="29" t="s">
        <v>23</v>
      </c>
      <c r="O221" s="29" t="s">
        <v>214</v>
      </c>
      <c r="P221" s="32"/>
      <c r="Q221" s="14"/>
      <c r="R221" s="37"/>
      <c r="S221" s="38"/>
      <c r="T221" s="30"/>
      <c r="U221" s="39"/>
      <c r="V221" s="40"/>
      <c r="W221" s="39"/>
      <c r="X221" s="41"/>
      <c r="Y221" s="9"/>
      <c r="Z221" s="9"/>
      <c r="AA221" s="9"/>
      <c r="AB221" s="7">
        <v>8949</v>
      </c>
      <c r="AC221" s="33"/>
      <c r="AD221" s="33"/>
      <c r="AE221" s="33"/>
      <c r="AF221" s="50">
        <v>46342</v>
      </c>
    </row>
    <row r="222" spans="2:32" x14ac:dyDescent="0.3">
      <c r="B222" s="13">
        <v>46084</v>
      </c>
      <c r="C222" s="61">
        <v>10022161</v>
      </c>
      <c r="D222" s="61">
        <v>8801913722592</v>
      </c>
      <c r="E222" s="61">
        <v>8801913722592</v>
      </c>
      <c r="F222" s="15" t="s">
        <v>863</v>
      </c>
      <c r="G222" s="69">
        <v>46118</v>
      </c>
      <c r="H222" s="15" t="s">
        <v>251</v>
      </c>
      <c r="I222" s="15"/>
      <c r="J222" s="29">
        <v>45593</v>
      </c>
      <c r="K222" s="29">
        <v>45870</v>
      </c>
      <c r="L222" s="29" t="s">
        <v>211</v>
      </c>
      <c r="M222" s="29" t="s">
        <v>160</v>
      </c>
      <c r="N222" s="29" t="s">
        <v>24</v>
      </c>
      <c r="O222" s="29" t="s">
        <v>212</v>
      </c>
      <c r="P222" s="32"/>
      <c r="Q222" s="14"/>
      <c r="R222" s="37"/>
      <c r="S222" s="38"/>
      <c r="T222" s="30"/>
      <c r="U222" s="39"/>
      <c r="V222" s="40"/>
      <c r="W222" s="39"/>
      <c r="X222" s="41"/>
      <c r="Y222" s="9"/>
      <c r="Z222" s="9"/>
      <c r="AA222" s="9"/>
      <c r="AB222" s="7">
        <v>7372</v>
      </c>
      <c r="AC222" s="33"/>
      <c r="AD222" s="33"/>
      <c r="AE222" s="33"/>
      <c r="AF222" s="50">
        <v>46343</v>
      </c>
    </row>
    <row r="223" spans="2:32" x14ac:dyDescent="0.3">
      <c r="B223" s="13">
        <v>46084</v>
      </c>
      <c r="C223" s="61">
        <v>10020662</v>
      </c>
      <c r="D223" s="61">
        <v>8801750623376</v>
      </c>
      <c r="E223" s="61">
        <v>8801750623376</v>
      </c>
      <c r="F223" s="15" t="s">
        <v>878</v>
      </c>
      <c r="G223" s="69">
        <v>46118</v>
      </c>
      <c r="H223" s="15" t="s">
        <v>251</v>
      </c>
      <c r="I223" s="15"/>
      <c r="J223" s="29">
        <v>45347</v>
      </c>
      <c r="K223" s="29">
        <v>45839</v>
      </c>
      <c r="L223" s="29" t="s">
        <v>211</v>
      </c>
      <c r="M223" s="29" t="s">
        <v>151</v>
      </c>
      <c r="N223" s="29" t="s">
        <v>24</v>
      </c>
      <c r="O223" s="29" t="s">
        <v>212</v>
      </c>
      <c r="P223" s="32"/>
      <c r="Q223" s="14"/>
      <c r="R223" s="37"/>
      <c r="S223" s="38"/>
      <c r="T223" s="30"/>
      <c r="U223" s="39"/>
      <c r="V223" s="40"/>
      <c r="W223" s="39"/>
      <c r="X223" s="41"/>
      <c r="Y223" s="9"/>
      <c r="Z223" s="9"/>
      <c r="AA223" s="9"/>
      <c r="AB223" s="7">
        <v>41764</v>
      </c>
      <c r="AC223" s="33"/>
      <c r="AD223" s="33"/>
      <c r="AE223" s="33"/>
      <c r="AF223" s="50">
        <v>46357</v>
      </c>
    </row>
    <row r="224" spans="2:32" x14ac:dyDescent="0.3">
      <c r="B224" s="13">
        <v>46084</v>
      </c>
      <c r="C224" s="61">
        <v>10020989</v>
      </c>
      <c r="D224" s="61">
        <v>8801933222479</v>
      </c>
      <c r="E224" s="61">
        <v>8801933222479</v>
      </c>
      <c r="F224" s="15" t="s">
        <v>334</v>
      </c>
      <c r="G224" s="69">
        <v>46118</v>
      </c>
      <c r="H224" s="15" t="s">
        <v>251</v>
      </c>
      <c r="I224" s="15"/>
      <c r="J224" s="29">
        <v>45406</v>
      </c>
      <c r="K224" s="29">
        <v>45870</v>
      </c>
      <c r="L224" s="29" t="s">
        <v>211</v>
      </c>
      <c r="M224" s="29" t="s">
        <v>177</v>
      </c>
      <c r="N224" s="29" t="s">
        <v>24</v>
      </c>
      <c r="O224" s="29" t="s">
        <v>212</v>
      </c>
      <c r="P224" s="32"/>
      <c r="Q224" s="14"/>
      <c r="R224" s="37"/>
      <c r="S224" s="38"/>
      <c r="T224" s="30"/>
      <c r="U224" s="39"/>
      <c r="V224" s="40"/>
      <c r="W224" s="39"/>
      <c r="X224" s="41"/>
      <c r="Y224" s="9"/>
      <c r="Z224" s="9"/>
      <c r="AA224" s="9"/>
      <c r="AB224" s="7">
        <v>29537</v>
      </c>
      <c r="AC224" s="33"/>
      <c r="AD224" s="33"/>
      <c r="AE224" s="33"/>
      <c r="AF224" s="50">
        <v>46358</v>
      </c>
    </row>
    <row r="225" spans="2:32" x14ac:dyDescent="0.3">
      <c r="B225" s="13">
        <v>46084</v>
      </c>
      <c r="C225" s="61">
        <v>30016679</v>
      </c>
      <c r="D225" s="61">
        <v>8801735636388</v>
      </c>
      <c r="E225" s="61">
        <v>8801735636388</v>
      </c>
      <c r="F225" s="15" t="s">
        <v>890</v>
      </c>
      <c r="G225" s="69">
        <v>46118</v>
      </c>
      <c r="H225" s="15" t="s">
        <v>251</v>
      </c>
      <c r="I225" s="15"/>
      <c r="J225" s="29">
        <v>45200</v>
      </c>
      <c r="K225" s="29">
        <v>45576</v>
      </c>
      <c r="L225" s="29" t="s">
        <v>226</v>
      </c>
      <c r="M225" s="29" t="s">
        <v>313</v>
      </c>
      <c r="N225" s="29" t="s">
        <v>17</v>
      </c>
      <c r="O225" s="29" t="s">
        <v>221</v>
      </c>
      <c r="P225" s="32"/>
      <c r="Q225" s="14"/>
      <c r="R225" s="37"/>
      <c r="S225" s="38"/>
      <c r="T225" s="30"/>
      <c r="U225" s="39"/>
      <c r="V225" s="40"/>
      <c r="W225" s="39"/>
      <c r="X225" s="41"/>
      <c r="Y225" s="9"/>
      <c r="Z225" s="9"/>
      <c r="AA225" s="9"/>
      <c r="AB225" s="7">
        <v>10280</v>
      </c>
      <c r="AC225" s="33"/>
      <c r="AD225" s="33"/>
      <c r="AE225" s="33"/>
      <c r="AF225" s="50">
        <v>46370</v>
      </c>
    </row>
    <row r="226" spans="2:32" x14ac:dyDescent="0.3">
      <c r="B226" s="13">
        <v>46084</v>
      </c>
      <c r="C226" s="61">
        <v>10016515</v>
      </c>
      <c r="D226" s="61">
        <v>8801713648844</v>
      </c>
      <c r="E226" s="61">
        <v>1713648844</v>
      </c>
      <c r="F226" s="15" t="s">
        <v>899</v>
      </c>
      <c r="G226" s="69">
        <v>46118</v>
      </c>
      <c r="H226" s="15" t="s">
        <v>251</v>
      </c>
      <c r="I226" s="15"/>
      <c r="J226" s="29">
        <v>44602</v>
      </c>
      <c r="K226" s="29">
        <v>45901</v>
      </c>
      <c r="L226" s="29" t="s">
        <v>219</v>
      </c>
      <c r="M226" s="29" t="s">
        <v>116</v>
      </c>
      <c r="N226" s="29" t="s">
        <v>24</v>
      </c>
      <c r="O226" s="29" t="s">
        <v>214</v>
      </c>
      <c r="P226" s="32">
        <v>45658</v>
      </c>
      <c r="Q226" s="14"/>
      <c r="R226" s="37"/>
      <c r="S226" s="38"/>
      <c r="T226" s="30"/>
      <c r="U226" s="39"/>
      <c r="V226" s="40"/>
      <c r="W226" s="39"/>
      <c r="X226" s="41"/>
      <c r="Y226" s="9"/>
      <c r="Z226" s="9"/>
      <c r="AA226" s="9"/>
      <c r="AB226" s="7">
        <v>58544</v>
      </c>
      <c r="AC226" s="33"/>
      <c r="AD226" s="33"/>
      <c r="AE226" s="33"/>
      <c r="AF226" s="50">
        <v>46378</v>
      </c>
    </row>
    <row r="227" spans="2:32" x14ac:dyDescent="0.3">
      <c r="B227" s="13">
        <v>46084</v>
      </c>
      <c r="C227" s="61">
        <v>14578</v>
      </c>
      <c r="D227" s="61">
        <v>8801710375737</v>
      </c>
      <c r="E227" s="61">
        <v>88000014578</v>
      </c>
      <c r="F227" s="15" t="s">
        <v>848</v>
      </c>
      <c r="G227" s="69">
        <v>46119</v>
      </c>
      <c r="H227" s="15" t="s">
        <v>251</v>
      </c>
      <c r="I227" s="15"/>
      <c r="J227" s="29">
        <v>44145</v>
      </c>
      <c r="K227" s="29">
        <v>45839</v>
      </c>
      <c r="L227" s="29" t="s">
        <v>219</v>
      </c>
      <c r="M227" s="29" t="s">
        <v>184</v>
      </c>
      <c r="N227" s="29" t="s">
        <v>23</v>
      </c>
      <c r="O227" s="29" t="s">
        <v>214</v>
      </c>
      <c r="P227" s="32">
        <v>44562</v>
      </c>
      <c r="Q227" s="14"/>
      <c r="R227" s="37"/>
      <c r="S227" s="38"/>
      <c r="T227" s="30"/>
      <c r="U227" s="39"/>
      <c r="V227" s="40"/>
      <c r="W227" s="39"/>
      <c r="X227" s="41"/>
      <c r="Y227" s="9"/>
      <c r="Z227" s="9"/>
      <c r="AA227" s="9"/>
      <c r="AB227" s="7">
        <v>226445</v>
      </c>
      <c r="AC227" s="33"/>
      <c r="AD227" s="33"/>
      <c r="AE227" s="33"/>
      <c r="AF227" s="50">
        <v>46328</v>
      </c>
    </row>
    <row r="228" spans="2:32" x14ac:dyDescent="0.3">
      <c r="B228" s="13">
        <v>46084</v>
      </c>
      <c r="C228" s="61">
        <v>10021001</v>
      </c>
      <c r="D228" s="61">
        <v>8801710590544</v>
      </c>
      <c r="E228" s="61">
        <v>8801710590544</v>
      </c>
      <c r="F228" s="15" t="s">
        <v>852</v>
      </c>
      <c r="G228" s="69">
        <v>46119</v>
      </c>
      <c r="H228" s="15" t="s">
        <v>251</v>
      </c>
      <c r="I228" s="15"/>
      <c r="J228" s="29">
        <v>45417</v>
      </c>
      <c r="K228" s="29">
        <v>45962</v>
      </c>
      <c r="L228" s="29" t="s">
        <v>216</v>
      </c>
      <c r="M228" s="29" t="s">
        <v>853</v>
      </c>
      <c r="N228" s="29" t="s">
        <v>23</v>
      </c>
      <c r="O228" s="29" t="s">
        <v>217</v>
      </c>
      <c r="P228" s="32"/>
      <c r="Q228" s="14"/>
      <c r="R228" s="37"/>
      <c r="S228" s="38"/>
      <c r="T228" s="30"/>
      <c r="U228" s="39"/>
      <c r="V228" s="40"/>
      <c r="W228" s="39"/>
      <c r="X228" s="41"/>
      <c r="Y228" s="9"/>
      <c r="Z228" s="9"/>
      <c r="AA228" s="9"/>
      <c r="AB228" s="7">
        <v>72816</v>
      </c>
      <c r="AC228" s="33"/>
      <c r="AD228" s="33"/>
      <c r="AE228" s="33"/>
      <c r="AF228" s="50">
        <v>46332</v>
      </c>
    </row>
    <row r="229" spans="2:32" x14ac:dyDescent="0.3">
      <c r="B229" s="13">
        <v>46084</v>
      </c>
      <c r="C229" s="61">
        <v>9156</v>
      </c>
      <c r="D229" s="61">
        <v>8801847212278</v>
      </c>
      <c r="E229" s="61">
        <v>1847212278</v>
      </c>
      <c r="F229" s="15" t="s">
        <v>867</v>
      </c>
      <c r="G229" s="69">
        <v>46119</v>
      </c>
      <c r="H229" s="15" t="s">
        <v>251</v>
      </c>
      <c r="I229" s="15"/>
      <c r="J229" s="29">
        <v>42746</v>
      </c>
      <c r="K229" s="29">
        <v>45911</v>
      </c>
      <c r="L229" s="29" t="s">
        <v>219</v>
      </c>
      <c r="M229" s="29" t="s">
        <v>141</v>
      </c>
      <c r="N229" s="29" t="s">
        <v>23</v>
      </c>
      <c r="O229" s="29" t="s">
        <v>214</v>
      </c>
      <c r="P229" s="32"/>
      <c r="Q229" s="14"/>
      <c r="R229" s="37"/>
      <c r="S229" s="38"/>
      <c r="T229" s="30"/>
      <c r="U229" s="39"/>
      <c r="V229" s="40"/>
      <c r="W229" s="39"/>
      <c r="X229" s="41"/>
      <c r="Y229" s="9"/>
      <c r="Z229" s="9"/>
      <c r="AA229" s="9"/>
      <c r="AB229" s="7">
        <v>577841</v>
      </c>
      <c r="AC229" s="33"/>
      <c r="AD229" s="33"/>
      <c r="AE229" s="33"/>
      <c r="AF229" s="50">
        <v>46347</v>
      </c>
    </row>
    <row r="230" spans="2:32" x14ac:dyDescent="0.3">
      <c r="B230" s="13">
        <v>46084</v>
      </c>
      <c r="C230" s="61">
        <v>10016522</v>
      </c>
      <c r="D230" s="61">
        <v>8801894929015</v>
      </c>
      <c r="E230" s="61">
        <v>1704287149</v>
      </c>
      <c r="F230" s="15" t="s">
        <v>872</v>
      </c>
      <c r="G230" s="69">
        <v>46119</v>
      </c>
      <c r="H230" s="15" t="s">
        <v>251</v>
      </c>
      <c r="I230" s="15"/>
      <c r="J230" s="29">
        <v>44598</v>
      </c>
      <c r="K230" s="29">
        <v>45778</v>
      </c>
      <c r="L230" s="29" t="s">
        <v>219</v>
      </c>
      <c r="M230" s="29" t="s">
        <v>67</v>
      </c>
      <c r="N230" s="29" t="s">
        <v>24</v>
      </c>
      <c r="O230" s="29" t="s">
        <v>214</v>
      </c>
      <c r="P230" s="32">
        <v>45658</v>
      </c>
      <c r="Q230" s="14"/>
      <c r="R230" s="37"/>
      <c r="S230" s="38"/>
      <c r="T230" s="30"/>
      <c r="U230" s="39"/>
      <c r="V230" s="40"/>
      <c r="W230" s="39"/>
      <c r="X230" s="41"/>
      <c r="Y230" s="9"/>
      <c r="Z230" s="9"/>
      <c r="AA230" s="9"/>
      <c r="AB230" s="7">
        <v>113999</v>
      </c>
      <c r="AC230" s="33"/>
      <c r="AD230" s="33"/>
      <c r="AE230" s="33"/>
      <c r="AF230" s="50">
        <v>46351</v>
      </c>
    </row>
    <row r="231" spans="2:32" x14ac:dyDescent="0.3">
      <c r="B231" s="13">
        <v>46084</v>
      </c>
      <c r="C231" s="61">
        <v>10022338</v>
      </c>
      <c r="D231" s="61">
        <v>8801759477111</v>
      </c>
      <c r="E231" s="61">
        <v>8801759477111</v>
      </c>
      <c r="F231" s="15" t="s">
        <v>875</v>
      </c>
      <c r="G231" s="69">
        <v>46119</v>
      </c>
      <c r="H231" s="15" t="s">
        <v>251</v>
      </c>
      <c r="I231" s="15"/>
      <c r="J231" s="29">
        <v>45609</v>
      </c>
      <c r="K231" s="29">
        <v>45931</v>
      </c>
      <c r="L231" s="29" t="s">
        <v>211</v>
      </c>
      <c r="M231" s="29" t="s">
        <v>137</v>
      </c>
      <c r="N231" s="29" t="s">
        <v>23</v>
      </c>
      <c r="O231" s="29" t="s">
        <v>212</v>
      </c>
      <c r="P231" s="32"/>
      <c r="Q231" s="14"/>
      <c r="R231" s="37"/>
      <c r="S231" s="38"/>
      <c r="T231" s="30"/>
      <c r="U231" s="39"/>
      <c r="V231" s="40"/>
      <c r="W231" s="39"/>
      <c r="X231" s="41"/>
      <c r="Y231" s="9"/>
      <c r="Z231" s="9"/>
      <c r="AA231" s="9"/>
      <c r="AB231" s="7">
        <v>47165</v>
      </c>
      <c r="AC231" s="33"/>
      <c r="AD231" s="33"/>
      <c r="AE231" s="33"/>
      <c r="AF231" s="50">
        <v>46354</v>
      </c>
    </row>
    <row r="232" spans="2:32" x14ac:dyDescent="0.3">
      <c r="B232" s="13">
        <v>46084</v>
      </c>
      <c r="C232" s="61">
        <v>10018504</v>
      </c>
      <c r="D232" s="61">
        <v>1714406412</v>
      </c>
      <c r="E232" s="61">
        <v>1714406412</v>
      </c>
      <c r="F232" s="15" t="s">
        <v>881</v>
      </c>
      <c r="G232" s="69">
        <v>46119</v>
      </c>
      <c r="H232" s="15" t="s">
        <v>251</v>
      </c>
      <c r="I232" s="15"/>
      <c r="J232" s="29">
        <v>45007</v>
      </c>
      <c r="K232" s="29">
        <v>45539</v>
      </c>
      <c r="L232" s="29" t="s">
        <v>211</v>
      </c>
      <c r="M232" s="29" t="s">
        <v>137</v>
      </c>
      <c r="N232" s="29" t="s">
        <v>23</v>
      </c>
      <c r="O232" s="29" t="s">
        <v>212</v>
      </c>
      <c r="P232" s="32"/>
      <c r="Q232" s="14"/>
      <c r="R232" s="37"/>
      <c r="S232" s="38"/>
      <c r="T232" s="30"/>
      <c r="U232" s="39"/>
      <c r="V232" s="40"/>
      <c r="W232" s="39"/>
      <c r="X232" s="41"/>
      <c r="Y232" s="9"/>
      <c r="Z232" s="9"/>
      <c r="AA232" s="9"/>
      <c r="AB232" s="7">
        <v>36258</v>
      </c>
      <c r="AC232" s="33"/>
      <c r="AD232" s="33"/>
      <c r="AE232" s="33"/>
      <c r="AF232" s="50">
        <v>46361</v>
      </c>
    </row>
    <row r="233" spans="2:32" x14ac:dyDescent="0.3">
      <c r="B233" s="13">
        <v>46084</v>
      </c>
      <c r="C233" s="61">
        <v>10017559</v>
      </c>
      <c r="D233" s="61">
        <v>8801894929046</v>
      </c>
      <c r="E233" s="61">
        <v>1754075484</v>
      </c>
      <c r="F233" s="15" t="s">
        <v>884</v>
      </c>
      <c r="G233" s="69">
        <v>46119</v>
      </c>
      <c r="H233" s="15" t="s">
        <v>251</v>
      </c>
      <c r="I233" s="15"/>
      <c r="J233" s="29">
        <v>44805</v>
      </c>
      <c r="K233" s="29">
        <v>45231</v>
      </c>
      <c r="L233" s="29" t="s">
        <v>211</v>
      </c>
      <c r="M233" s="29" t="s">
        <v>67</v>
      </c>
      <c r="N233" s="29" t="s">
        <v>24</v>
      </c>
      <c r="O233" s="29" t="s">
        <v>212</v>
      </c>
      <c r="P233" s="32"/>
      <c r="Q233" s="14"/>
      <c r="R233" s="37"/>
      <c r="S233" s="38"/>
      <c r="T233" s="30"/>
      <c r="U233" s="39"/>
      <c r="V233" s="40"/>
      <c r="W233" s="39"/>
      <c r="X233" s="41"/>
      <c r="Y233" s="9"/>
      <c r="Z233" s="9"/>
      <c r="AA233" s="9"/>
      <c r="AB233" s="7">
        <v>23209</v>
      </c>
      <c r="AC233" s="33"/>
      <c r="AD233" s="33"/>
      <c r="AE233" s="33"/>
      <c r="AF233" s="50">
        <v>46364</v>
      </c>
    </row>
    <row r="234" spans="2:32" x14ac:dyDescent="0.3">
      <c r="B234" s="13">
        <v>46084</v>
      </c>
      <c r="C234" s="61">
        <v>10019851</v>
      </c>
      <c r="D234" s="61">
        <v>8801756131151</v>
      </c>
      <c r="E234" s="61">
        <v>8801756131151</v>
      </c>
      <c r="F234" s="15" t="s">
        <v>73</v>
      </c>
      <c r="G234" s="69">
        <v>46119</v>
      </c>
      <c r="H234" s="15" t="s">
        <v>251</v>
      </c>
      <c r="I234" s="15"/>
      <c r="J234" s="29">
        <v>45239</v>
      </c>
      <c r="K234" s="29">
        <v>45540</v>
      </c>
      <c r="L234" s="29" t="s">
        <v>211</v>
      </c>
      <c r="M234" s="29" t="s">
        <v>126</v>
      </c>
      <c r="N234" s="29" t="s">
        <v>23</v>
      </c>
      <c r="O234" s="29" t="s">
        <v>212</v>
      </c>
      <c r="P234" s="32"/>
      <c r="Q234" s="14"/>
      <c r="R234" s="37"/>
      <c r="S234" s="38"/>
      <c r="T234" s="30"/>
      <c r="U234" s="39"/>
      <c r="V234" s="40"/>
      <c r="W234" s="39"/>
      <c r="X234" s="41"/>
      <c r="Y234" s="9"/>
      <c r="Z234" s="9"/>
      <c r="AA234" s="9"/>
      <c r="AB234" s="7">
        <v>11107</v>
      </c>
      <c r="AC234" s="33"/>
      <c r="AD234" s="33"/>
      <c r="AE234" s="33"/>
      <c r="AF234" s="50">
        <v>46367</v>
      </c>
    </row>
    <row r="235" spans="2:32" x14ac:dyDescent="0.3">
      <c r="B235" s="13">
        <v>46084</v>
      </c>
      <c r="C235" s="61">
        <v>10023174</v>
      </c>
      <c r="D235" s="61">
        <v>8801933658084</v>
      </c>
      <c r="E235" s="61">
        <v>8801933658084</v>
      </c>
      <c r="F235" s="15" t="s">
        <v>894</v>
      </c>
      <c r="G235" s="69">
        <v>46119</v>
      </c>
      <c r="H235" s="15" t="s">
        <v>251</v>
      </c>
      <c r="I235" s="15"/>
      <c r="J235" s="29">
        <v>45692</v>
      </c>
      <c r="K235" s="29">
        <v>45839</v>
      </c>
      <c r="L235" s="29" t="s">
        <v>219</v>
      </c>
      <c r="M235" s="29" t="s">
        <v>187</v>
      </c>
      <c r="N235" s="29" t="s">
        <v>23</v>
      </c>
      <c r="O235" s="29" t="s">
        <v>214</v>
      </c>
      <c r="P235" s="32"/>
      <c r="Q235" s="14"/>
      <c r="R235" s="37"/>
      <c r="S235" s="38"/>
      <c r="T235" s="30"/>
      <c r="U235" s="39"/>
      <c r="V235" s="40"/>
      <c r="W235" s="39"/>
      <c r="X235" s="41"/>
      <c r="Y235" s="9"/>
      <c r="Z235" s="9"/>
      <c r="AA235" s="9"/>
      <c r="AB235" s="7">
        <v>6505</v>
      </c>
      <c r="AC235" s="33"/>
      <c r="AD235" s="33"/>
      <c r="AE235" s="33"/>
      <c r="AF235" s="50">
        <v>46375</v>
      </c>
    </row>
    <row r="236" spans="2:32" x14ac:dyDescent="0.3">
      <c r="B236" s="13">
        <v>46075</v>
      </c>
      <c r="C236" s="61">
        <v>10020148</v>
      </c>
      <c r="D236" s="30" t="s">
        <v>819</v>
      </c>
      <c r="E236" s="30" t="s">
        <v>819</v>
      </c>
      <c r="F236" s="15" t="s">
        <v>751</v>
      </c>
      <c r="G236" s="69">
        <v>46120</v>
      </c>
      <c r="H236" s="15" t="s">
        <v>251</v>
      </c>
      <c r="I236" s="15"/>
      <c r="J236" s="29">
        <v>45299</v>
      </c>
      <c r="K236" s="29">
        <v>45842</v>
      </c>
      <c r="L236" s="29" t="s">
        <v>211</v>
      </c>
      <c r="M236" s="29" t="s">
        <v>152</v>
      </c>
      <c r="N236" s="29" t="s">
        <v>23</v>
      </c>
      <c r="O236" s="29" t="s">
        <v>212</v>
      </c>
      <c r="P236" s="32"/>
      <c r="Q236" s="14"/>
      <c r="R236" s="37"/>
      <c r="S236" s="38"/>
      <c r="T236" s="30"/>
      <c r="U236" s="39"/>
      <c r="V236" s="40"/>
      <c r="W236" s="39"/>
      <c r="X236" s="41"/>
      <c r="Y236" s="9"/>
      <c r="Z236" s="9"/>
      <c r="AA236" s="9"/>
      <c r="AB236" s="7">
        <v>37916</v>
      </c>
      <c r="AC236" s="33"/>
      <c r="AD236" s="33"/>
      <c r="AE236" s="33"/>
      <c r="AF236" s="50">
        <v>46307</v>
      </c>
    </row>
    <row r="237" spans="2:32" x14ac:dyDescent="0.3">
      <c r="B237" s="13">
        <v>46084</v>
      </c>
      <c r="C237" s="61">
        <v>10017154</v>
      </c>
      <c r="D237" s="61">
        <v>8801894930571</v>
      </c>
      <c r="E237" s="61">
        <v>1783305825</v>
      </c>
      <c r="F237" s="15" t="s">
        <v>849</v>
      </c>
      <c r="G237" s="69">
        <v>46120</v>
      </c>
      <c r="H237" s="15" t="s">
        <v>251</v>
      </c>
      <c r="I237" s="15"/>
      <c r="J237" s="29">
        <v>44749</v>
      </c>
      <c r="K237" s="29">
        <v>45838</v>
      </c>
      <c r="L237" s="29" t="s">
        <v>219</v>
      </c>
      <c r="M237" s="29" t="s">
        <v>189</v>
      </c>
      <c r="N237" s="29" t="s">
        <v>23</v>
      </c>
      <c r="O237" s="29" t="s">
        <v>214</v>
      </c>
      <c r="P237" s="32">
        <v>45292</v>
      </c>
      <c r="Q237" s="14"/>
      <c r="R237" s="37"/>
      <c r="S237" s="38"/>
      <c r="T237" s="30"/>
      <c r="U237" s="39"/>
      <c r="V237" s="40"/>
      <c r="W237" s="39"/>
      <c r="X237" s="41"/>
      <c r="Y237" s="9"/>
      <c r="Z237" s="9"/>
      <c r="AA237" s="9"/>
      <c r="AB237" s="7">
        <v>124699</v>
      </c>
      <c r="AC237" s="33"/>
      <c r="AD237" s="33"/>
      <c r="AE237" s="33"/>
      <c r="AF237" s="50">
        <v>46329</v>
      </c>
    </row>
    <row r="238" spans="2:32" x14ac:dyDescent="0.3">
      <c r="B238" s="13">
        <v>46055</v>
      </c>
      <c r="C238" s="61">
        <v>10021329</v>
      </c>
      <c r="D238" s="30" t="s">
        <v>798</v>
      </c>
      <c r="E238" s="30" t="s">
        <v>798</v>
      </c>
      <c r="F238" s="15" t="s">
        <v>733</v>
      </c>
      <c r="G238" s="69">
        <v>46121</v>
      </c>
      <c r="H238" s="15" t="s">
        <v>251</v>
      </c>
      <c r="I238" s="15"/>
      <c r="J238" s="29">
        <v>45444</v>
      </c>
      <c r="K238" s="29">
        <v>45901</v>
      </c>
      <c r="L238" s="29" t="s">
        <v>220</v>
      </c>
      <c r="M238" s="29" t="s">
        <v>165</v>
      </c>
      <c r="N238" s="29" t="s">
        <v>17</v>
      </c>
      <c r="O238" s="29" t="s">
        <v>221</v>
      </c>
      <c r="P238" s="32"/>
      <c r="Q238" s="14"/>
      <c r="R238" s="37"/>
      <c r="S238" s="38"/>
      <c r="T238" s="30"/>
      <c r="U238" s="39"/>
      <c r="V238" s="40"/>
      <c r="W238" s="39"/>
      <c r="X238" s="41"/>
      <c r="Y238" s="9"/>
      <c r="Z238" s="9"/>
      <c r="AA238" s="9"/>
      <c r="AB238" s="7">
        <v>18003</v>
      </c>
      <c r="AC238" s="33"/>
      <c r="AD238" s="33"/>
      <c r="AE238" s="33"/>
      <c r="AF238" s="50">
        <v>46285</v>
      </c>
    </row>
    <row r="239" spans="2:32" x14ac:dyDescent="0.3">
      <c r="B239" s="13">
        <v>46084</v>
      </c>
      <c r="C239" s="61">
        <v>10022782</v>
      </c>
      <c r="D239" s="61">
        <v>8801735408341</v>
      </c>
      <c r="E239" s="61">
        <v>8801735408341</v>
      </c>
      <c r="F239" s="15" t="s">
        <v>860</v>
      </c>
      <c r="G239" s="69">
        <v>46121</v>
      </c>
      <c r="H239" s="15" t="s">
        <v>251</v>
      </c>
      <c r="I239" s="15"/>
      <c r="J239" s="29">
        <v>45658</v>
      </c>
      <c r="K239" s="29">
        <v>45870</v>
      </c>
      <c r="L239" s="29" t="s">
        <v>219</v>
      </c>
      <c r="M239" s="29" t="s">
        <v>613</v>
      </c>
      <c r="N239" s="29" t="s">
        <v>24</v>
      </c>
      <c r="O239" s="29" t="s">
        <v>214</v>
      </c>
      <c r="P239" s="32"/>
      <c r="Q239" s="14"/>
      <c r="R239" s="37"/>
      <c r="S239" s="38"/>
      <c r="T239" s="30"/>
      <c r="U239" s="39"/>
      <c r="V239" s="40"/>
      <c r="W239" s="39"/>
      <c r="X239" s="41"/>
      <c r="Y239" s="9"/>
      <c r="Z239" s="9"/>
      <c r="AA239" s="9"/>
      <c r="AB239" s="7">
        <v>13992</v>
      </c>
      <c r="AC239" s="33"/>
      <c r="AD239" s="33"/>
      <c r="AE239" s="33"/>
      <c r="AF239" s="50">
        <v>46340</v>
      </c>
    </row>
    <row r="240" spans="2:32" x14ac:dyDescent="0.3">
      <c r="B240" s="13">
        <v>46084</v>
      </c>
      <c r="C240" s="61">
        <v>10022243</v>
      </c>
      <c r="D240" s="61">
        <v>8801932138984</v>
      </c>
      <c r="E240" s="61">
        <v>8801932138984</v>
      </c>
      <c r="F240" s="15" t="s">
        <v>874</v>
      </c>
      <c r="G240" s="69">
        <v>46121</v>
      </c>
      <c r="H240" s="15" t="s">
        <v>251</v>
      </c>
      <c r="I240" s="15"/>
      <c r="J240" s="29">
        <v>45596</v>
      </c>
      <c r="K240" s="29">
        <v>45962</v>
      </c>
      <c r="L240" s="29" t="s">
        <v>211</v>
      </c>
      <c r="M240" s="29" t="s">
        <v>98</v>
      </c>
      <c r="N240" s="29" t="s">
        <v>23</v>
      </c>
      <c r="O240" s="29" t="s">
        <v>212</v>
      </c>
      <c r="P240" s="32"/>
      <c r="Q240" s="14"/>
      <c r="R240" s="37"/>
      <c r="S240" s="38"/>
      <c r="T240" s="30"/>
      <c r="U240" s="39"/>
      <c r="V240" s="40"/>
      <c r="W240" s="39"/>
      <c r="X240" s="41"/>
      <c r="Y240" s="9"/>
      <c r="Z240" s="9"/>
      <c r="AA240" s="9"/>
      <c r="AB240" s="7">
        <v>49489</v>
      </c>
      <c r="AC240" s="33"/>
      <c r="AD240" s="33"/>
      <c r="AE240" s="33"/>
      <c r="AF240" s="50">
        <v>46353</v>
      </c>
    </row>
    <row r="241" spans="2:32" x14ac:dyDescent="0.3">
      <c r="B241" s="13">
        <v>46084</v>
      </c>
      <c r="C241" s="61">
        <v>10022357</v>
      </c>
      <c r="D241" s="61">
        <v>8801738046602</v>
      </c>
      <c r="E241" s="61">
        <v>8801738046602</v>
      </c>
      <c r="F241" s="15" t="s">
        <v>891</v>
      </c>
      <c r="G241" s="69">
        <v>46121</v>
      </c>
      <c r="H241" s="15" t="s">
        <v>251</v>
      </c>
      <c r="I241" s="15"/>
      <c r="J241" s="29">
        <v>45609</v>
      </c>
      <c r="K241" s="29">
        <v>45901</v>
      </c>
      <c r="L241" s="29" t="s">
        <v>211</v>
      </c>
      <c r="M241" s="29" t="s">
        <v>120</v>
      </c>
      <c r="N241" s="29" t="s">
        <v>23</v>
      </c>
      <c r="O241" s="29" t="s">
        <v>212</v>
      </c>
      <c r="P241" s="32"/>
      <c r="Q241" s="14"/>
      <c r="R241" s="37"/>
      <c r="S241" s="38"/>
      <c r="T241" s="30"/>
      <c r="U241" s="39"/>
      <c r="V241" s="40"/>
      <c r="W241" s="39"/>
      <c r="X241" s="41"/>
      <c r="Y241" s="9"/>
      <c r="Z241" s="9"/>
      <c r="AA241" s="9"/>
      <c r="AB241" s="7">
        <v>8577</v>
      </c>
      <c r="AC241" s="33"/>
      <c r="AD241" s="33"/>
      <c r="AE241" s="33"/>
      <c r="AF241" s="50">
        <v>46371</v>
      </c>
    </row>
    <row r="242" spans="2:32" x14ac:dyDescent="0.3">
      <c r="B242" s="13">
        <v>46040</v>
      </c>
      <c r="C242" s="61">
        <v>2421</v>
      </c>
      <c r="D242" s="30" t="s">
        <v>488</v>
      </c>
      <c r="E242" s="30" t="s">
        <v>488</v>
      </c>
      <c r="F242" s="15" t="s">
        <v>460</v>
      </c>
      <c r="G242" s="69">
        <v>46124</v>
      </c>
      <c r="H242" s="15" t="s">
        <v>251</v>
      </c>
      <c r="I242" s="15" t="s">
        <v>902</v>
      </c>
      <c r="J242" s="29">
        <v>40634</v>
      </c>
      <c r="K242" s="29">
        <v>45967</v>
      </c>
      <c r="L242" s="29" t="s">
        <v>265</v>
      </c>
      <c r="M242" s="29" t="s">
        <v>174</v>
      </c>
      <c r="N242" s="29" t="s">
        <v>26</v>
      </c>
      <c r="O242" s="29" t="s">
        <v>233</v>
      </c>
      <c r="P242" s="32">
        <v>44927</v>
      </c>
      <c r="Q242" s="14"/>
      <c r="R242" s="37"/>
      <c r="S242" s="38"/>
      <c r="T242" s="30"/>
      <c r="U242" s="39"/>
      <c r="V242" s="40"/>
      <c r="W242" s="39"/>
      <c r="X242" s="41"/>
      <c r="Y242" s="9"/>
      <c r="Z242" s="9"/>
      <c r="AA242" s="9"/>
      <c r="AB242" s="7">
        <v>704031</v>
      </c>
      <c r="AC242" s="33"/>
      <c r="AD242" s="33"/>
      <c r="AE242" s="33"/>
      <c r="AF242" s="50">
        <v>46221</v>
      </c>
    </row>
    <row r="243" spans="2:32" x14ac:dyDescent="0.3">
      <c r="B243" s="13">
        <v>46040</v>
      </c>
      <c r="C243" s="61">
        <v>10021898</v>
      </c>
      <c r="D243" s="30" t="s">
        <v>616</v>
      </c>
      <c r="E243" s="30" t="s">
        <v>616</v>
      </c>
      <c r="F243" s="15" t="s">
        <v>438</v>
      </c>
      <c r="G243" s="69">
        <v>46124</v>
      </c>
      <c r="H243" s="15" t="s">
        <v>251</v>
      </c>
      <c r="I243" s="15" t="s">
        <v>908</v>
      </c>
      <c r="J243" s="29">
        <v>45556</v>
      </c>
      <c r="K243" s="29">
        <v>45748</v>
      </c>
      <c r="L243" s="29" t="s">
        <v>211</v>
      </c>
      <c r="M243" s="29" t="s">
        <v>191</v>
      </c>
      <c r="N243" s="29" t="s">
        <v>23</v>
      </c>
      <c r="O243" s="29" t="s">
        <v>212</v>
      </c>
      <c r="P243" s="32"/>
      <c r="Q243" s="14"/>
      <c r="R243" s="37"/>
      <c r="S243" s="38"/>
      <c r="T243" s="30"/>
      <c r="U243" s="39"/>
      <c r="V243" s="40"/>
      <c r="W243" s="39"/>
      <c r="X243" s="41"/>
      <c r="Y243" s="9"/>
      <c r="Z243" s="9"/>
      <c r="AA243" s="9"/>
      <c r="AB243" s="7">
        <v>7101</v>
      </c>
      <c r="AC243" s="33"/>
      <c r="AD243" s="33"/>
      <c r="AE243" s="33"/>
      <c r="AF243" s="50">
        <v>46221</v>
      </c>
    </row>
    <row r="244" spans="2:32" x14ac:dyDescent="0.3">
      <c r="B244" s="13">
        <v>46040</v>
      </c>
      <c r="C244" s="61">
        <v>10023153</v>
      </c>
      <c r="D244" s="30" t="s">
        <v>647</v>
      </c>
      <c r="E244" s="30" t="s">
        <v>647</v>
      </c>
      <c r="F244" s="15" t="s">
        <v>473</v>
      </c>
      <c r="G244" s="69">
        <v>46124</v>
      </c>
      <c r="H244" s="15" t="s">
        <v>251</v>
      </c>
      <c r="I244" s="15"/>
      <c r="J244" s="29">
        <v>45689</v>
      </c>
      <c r="K244" s="29">
        <v>45778</v>
      </c>
      <c r="L244" s="29" t="s">
        <v>211</v>
      </c>
      <c r="M244" s="29" t="s">
        <v>187</v>
      </c>
      <c r="N244" s="29" t="s">
        <v>23</v>
      </c>
      <c r="O244" s="29" t="s">
        <v>212</v>
      </c>
      <c r="P244" s="32"/>
      <c r="Q244" s="14"/>
      <c r="R244" s="37"/>
      <c r="S244" s="38"/>
      <c r="T244" s="30"/>
      <c r="U244" s="39"/>
      <c r="V244" s="40"/>
      <c r="W244" s="39"/>
      <c r="X244" s="41"/>
      <c r="Y244" s="9"/>
      <c r="Z244" s="9"/>
      <c r="AA244" s="9"/>
      <c r="AB244" s="7">
        <v>6562</v>
      </c>
      <c r="AC244" s="33"/>
      <c r="AD244" s="33"/>
      <c r="AE244" s="33"/>
      <c r="AF244" s="50">
        <v>46221</v>
      </c>
    </row>
    <row r="245" spans="2:32" x14ac:dyDescent="0.3">
      <c r="B245" s="13">
        <v>46040</v>
      </c>
      <c r="C245" s="61">
        <v>10024235</v>
      </c>
      <c r="D245" s="30" t="s">
        <v>659</v>
      </c>
      <c r="E245" s="30" t="s">
        <v>659</v>
      </c>
      <c r="F245" s="15" t="s">
        <v>398</v>
      </c>
      <c r="G245" s="69">
        <v>46124</v>
      </c>
      <c r="H245" s="15" t="s">
        <v>251</v>
      </c>
      <c r="I245" s="15" t="s">
        <v>902</v>
      </c>
      <c r="J245" s="29">
        <v>45846</v>
      </c>
      <c r="K245" s="29">
        <v>45874</v>
      </c>
      <c r="L245" s="29" t="s">
        <v>211</v>
      </c>
      <c r="M245" s="29" t="s">
        <v>177</v>
      </c>
      <c r="N245" s="29" t="s">
        <v>24</v>
      </c>
      <c r="O245" s="29" t="s">
        <v>212</v>
      </c>
      <c r="P245" s="32"/>
      <c r="Q245" s="14"/>
      <c r="R245" s="37"/>
      <c r="S245" s="38"/>
      <c r="T245" s="30"/>
      <c r="U245" s="39"/>
      <c r="V245" s="40"/>
      <c r="W245" s="39"/>
      <c r="X245" s="41"/>
      <c r="Y245" s="9"/>
      <c r="Z245" s="9"/>
      <c r="AA245" s="9"/>
      <c r="AB245" s="7">
        <v>22581</v>
      </c>
      <c r="AC245" s="33"/>
      <c r="AD245" s="33"/>
      <c r="AE245" s="33"/>
      <c r="AF245" s="50">
        <v>46221</v>
      </c>
    </row>
    <row r="246" spans="2:32" x14ac:dyDescent="0.3">
      <c r="B246" s="13">
        <v>46084</v>
      </c>
      <c r="C246" s="61">
        <v>14918</v>
      </c>
      <c r="D246" s="61">
        <v>8801827780659</v>
      </c>
      <c r="E246" s="61">
        <v>1827780659</v>
      </c>
      <c r="F246" s="15" t="s">
        <v>850</v>
      </c>
      <c r="G246" s="69">
        <v>46124</v>
      </c>
      <c r="H246" s="15" t="s">
        <v>251</v>
      </c>
      <c r="I246" s="15"/>
      <c r="J246" s="29">
        <v>44231</v>
      </c>
      <c r="K246" s="29">
        <v>45870</v>
      </c>
      <c r="L246" s="29" t="s">
        <v>219</v>
      </c>
      <c r="M246" s="29" t="s">
        <v>109</v>
      </c>
      <c r="N246" s="29" t="s">
        <v>23</v>
      </c>
      <c r="O246" s="29" t="s">
        <v>214</v>
      </c>
      <c r="P246" s="32">
        <v>44927</v>
      </c>
      <c r="Q246" s="14"/>
      <c r="R246" s="37"/>
      <c r="S246" s="38"/>
      <c r="T246" s="30"/>
      <c r="U246" s="39"/>
      <c r="V246" s="40"/>
      <c r="W246" s="39"/>
      <c r="X246" s="41"/>
      <c r="Y246" s="9"/>
      <c r="Z246" s="9"/>
      <c r="AA246" s="9"/>
      <c r="AB246" s="7">
        <v>171917</v>
      </c>
      <c r="AC246" s="33"/>
      <c r="AD246" s="33"/>
      <c r="AE246" s="33"/>
      <c r="AF246" s="50">
        <v>46330</v>
      </c>
    </row>
    <row r="247" spans="2:32" x14ac:dyDescent="0.3">
      <c r="B247" s="13">
        <v>46084</v>
      </c>
      <c r="C247" s="61">
        <v>10019640</v>
      </c>
      <c r="D247" s="61" t="s">
        <v>906</v>
      </c>
      <c r="E247" s="61" t="s">
        <v>906</v>
      </c>
      <c r="F247" s="15" t="s">
        <v>18</v>
      </c>
      <c r="G247" s="69">
        <v>46124</v>
      </c>
      <c r="H247" s="15" t="s">
        <v>251</v>
      </c>
      <c r="I247" s="15" t="s">
        <v>683</v>
      </c>
      <c r="J247" s="29">
        <v>45202</v>
      </c>
      <c r="K247" s="29">
        <v>45792</v>
      </c>
      <c r="L247" s="29" t="s">
        <v>677</v>
      </c>
      <c r="M247" s="29" t="s">
        <v>157</v>
      </c>
      <c r="N247" s="29" t="s">
        <v>19</v>
      </c>
      <c r="O247" s="29" t="s">
        <v>281</v>
      </c>
      <c r="P247" s="32"/>
      <c r="Q247" s="14"/>
      <c r="R247" s="37"/>
      <c r="S247" s="38"/>
      <c r="T247" s="30"/>
      <c r="U247" s="39"/>
      <c r="V247" s="40"/>
      <c r="W247" s="39"/>
      <c r="X247" s="41"/>
      <c r="Y247" s="9"/>
      <c r="Z247" s="9"/>
      <c r="AA247" s="9"/>
      <c r="AB247" s="7">
        <v>70242</v>
      </c>
      <c r="AC247" s="33"/>
      <c r="AD247" s="33"/>
      <c r="AE247" s="33"/>
      <c r="AF247" s="50">
        <v>46335</v>
      </c>
    </row>
    <row r="248" spans="2:32" x14ac:dyDescent="0.3">
      <c r="B248" s="13">
        <v>46084</v>
      </c>
      <c r="C248" s="61">
        <v>10023096</v>
      </c>
      <c r="D248" s="61">
        <v>8801763692616</v>
      </c>
      <c r="E248" s="61">
        <v>8801763692616</v>
      </c>
      <c r="F248" s="15" t="s">
        <v>1330</v>
      </c>
      <c r="G248" s="69">
        <v>46124</v>
      </c>
      <c r="H248" s="15" t="s">
        <v>251</v>
      </c>
      <c r="I248" s="15" t="s">
        <v>907</v>
      </c>
      <c r="J248" s="29">
        <v>45672</v>
      </c>
      <c r="K248" s="29">
        <v>45938</v>
      </c>
      <c r="L248" s="29" t="s">
        <v>236</v>
      </c>
      <c r="M248" s="29" t="s">
        <v>95</v>
      </c>
      <c r="N248" s="29" t="s">
        <v>23</v>
      </c>
      <c r="O248" s="29" t="s">
        <v>212</v>
      </c>
      <c r="P248" s="32"/>
      <c r="Q248" s="14"/>
      <c r="R248" s="37"/>
      <c r="S248" s="38"/>
      <c r="T248" s="30"/>
      <c r="U248" s="39"/>
      <c r="V248" s="40"/>
      <c r="W248" s="39"/>
      <c r="X248" s="41"/>
      <c r="Y248" s="9"/>
      <c r="Z248" s="9"/>
      <c r="AA248" s="9"/>
      <c r="AB248" s="7">
        <v>19383</v>
      </c>
      <c r="AC248" s="33"/>
      <c r="AD248" s="33"/>
      <c r="AE248" s="33"/>
      <c r="AF248" s="50">
        <v>46337</v>
      </c>
    </row>
    <row r="249" spans="2:32" x14ac:dyDescent="0.3">
      <c r="B249" s="13">
        <v>46084</v>
      </c>
      <c r="C249" s="61">
        <v>10021828</v>
      </c>
      <c r="D249" s="61">
        <v>8801713264392</v>
      </c>
      <c r="E249" s="61">
        <v>8801713264392</v>
      </c>
      <c r="F249" s="15" t="s">
        <v>883</v>
      </c>
      <c r="G249" s="69">
        <v>46124</v>
      </c>
      <c r="H249" s="15" t="s">
        <v>251</v>
      </c>
      <c r="I249" s="15"/>
      <c r="J249" s="29">
        <v>45547</v>
      </c>
      <c r="K249" s="29">
        <v>45708</v>
      </c>
      <c r="L249" s="29" t="s">
        <v>211</v>
      </c>
      <c r="M249" s="29" t="s">
        <v>137</v>
      </c>
      <c r="N249" s="29" t="s">
        <v>23</v>
      </c>
      <c r="O249" s="29" t="s">
        <v>212</v>
      </c>
      <c r="P249" s="32"/>
      <c r="Q249" s="14"/>
      <c r="R249" s="37"/>
      <c r="S249" s="38"/>
      <c r="T249" s="30"/>
      <c r="U249" s="39"/>
      <c r="V249" s="40"/>
      <c r="W249" s="39"/>
      <c r="X249" s="41"/>
      <c r="Y249" s="9"/>
      <c r="Z249" s="9"/>
      <c r="AA249" s="9"/>
      <c r="AB249" s="7">
        <v>16948</v>
      </c>
      <c r="AC249" s="33"/>
      <c r="AD249" s="33"/>
      <c r="AE249" s="33"/>
      <c r="AF249" s="50">
        <v>46363</v>
      </c>
    </row>
    <row r="250" spans="2:32" x14ac:dyDescent="0.3">
      <c r="B250" s="13">
        <v>46084</v>
      </c>
      <c r="C250" s="61">
        <v>12387</v>
      </c>
      <c r="D250" s="61">
        <v>8801844275579</v>
      </c>
      <c r="E250" s="61">
        <v>1844275579</v>
      </c>
      <c r="F250" s="15" t="s">
        <v>866</v>
      </c>
      <c r="G250" s="69">
        <v>46125</v>
      </c>
      <c r="H250" s="15" t="s">
        <v>251</v>
      </c>
      <c r="I250" s="15"/>
      <c r="J250" s="29">
        <v>43535</v>
      </c>
      <c r="K250" s="29">
        <v>45962</v>
      </c>
      <c r="L250" s="29" t="s">
        <v>219</v>
      </c>
      <c r="M250" s="29" t="s">
        <v>95</v>
      </c>
      <c r="N250" s="29" t="s">
        <v>23</v>
      </c>
      <c r="O250" s="29" t="s">
        <v>214</v>
      </c>
      <c r="P250" s="32"/>
      <c r="Q250" s="14"/>
      <c r="R250" s="37"/>
      <c r="S250" s="38"/>
      <c r="T250" s="30"/>
      <c r="U250" s="39"/>
      <c r="V250" s="40"/>
      <c r="W250" s="39"/>
      <c r="X250" s="41"/>
      <c r="Y250" s="9"/>
      <c r="Z250" s="9"/>
      <c r="AA250" s="9"/>
      <c r="AB250" s="7">
        <v>495963</v>
      </c>
      <c r="AC250" s="33"/>
      <c r="AD250" s="33"/>
      <c r="AE250" s="33"/>
      <c r="AF250" s="50">
        <v>46346</v>
      </c>
    </row>
    <row r="251" spans="2:32" x14ac:dyDescent="0.3">
      <c r="B251" s="13">
        <v>46040</v>
      </c>
      <c r="C251" s="61">
        <v>10016586</v>
      </c>
      <c r="D251" s="30" t="s">
        <v>522</v>
      </c>
      <c r="E251" s="30" t="s">
        <v>522</v>
      </c>
      <c r="F251" s="15" t="s">
        <v>479</v>
      </c>
      <c r="G251" s="69">
        <v>46127</v>
      </c>
      <c r="H251" s="15" t="s">
        <v>251</v>
      </c>
      <c r="I251" s="15" t="s">
        <v>911</v>
      </c>
      <c r="J251" s="29">
        <v>44606</v>
      </c>
      <c r="K251" s="29">
        <v>45840</v>
      </c>
      <c r="L251" s="29" t="s">
        <v>219</v>
      </c>
      <c r="M251" s="29" t="s">
        <v>523</v>
      </c>
      <c r="N251" s="29" t="s">
        <v>25</v>
      </c>
      <c r="O251" s="29" t="s">
        <v>214</v>
      </c>
      <c r="P251" s="32">
        <v>45658</v>
      </c>
      <c r="Q251" s="14"/>
      <c r="R251" s="37"/>
      <c r="S251" s="38"/>
      <c r="T251" s="30"/>
      <c r="U251" s="39"/>
      <c r="V251" s="40"/>
      <c r="W251" s="39"/>
      <c r="X251" s="41"/>
      <c r="Y251" s="9"/>
      <c r="Z251" s="9"/>
      <c r="AA251" s="9"/>
      <c r="AB251" s="7">
        <v>28287</v>
      </c>
      <c r="AC251" s="33"/>
      <c r="AD251" s="33"/>
      <c r="AE251" s="33"/>
      <c r="AF251" s="50">
        <v>46221</v>
      </c>
    </row>
    <row r="252" spans="2:32" x14ac:dyDescent="0.3">
      <c r="B252" s="13">
        <v>46075</v>
      </c>
      <c r="C252" s="61">
        <v>9028</v>
      </c>
      <c r="D252" s="30" t="s">
        <v>836</v>
      </c>
      <c r="E252" s="30" t="s">
        <v>837</v>
      </c>
      <c r="F252" s="15" t="s">
        <v>81</v>
      </c>
      <c r="G252" s="69">
        <v>46127</v>
      </c>
      <c r="H252" s="15" t="s">
        <v>251</v>
      </c>
      <c r="I252" s="15"/>
      <c r="J252" s="29">
        <v>42703</v>
      </c>
      <c r="K252" s="29">
        <v>45940</v>
      </c>
      <c r="L252" s="29" t="s">
        <v>219</v>
      </c>
      <c r="M252" s="29" t="s">
        <v>92</v>
      </c>
      <c r="N252" s="29" t="s">
        <v>16</v>
      </c>
      <c r="O252" s="29" t="s">
        <v>214</v>
      </c>
      <c r="P252" s="32"/>
      <c r="Q252" s="14"/>
      <c r="R252" s="37"/>
      <c r="S252" s="38"/>
      <c r="T252" s="30"/>
      <c r="U252" s="39"/>
      <c r="V252" s="40"/>
      <c r="W252" s="39"/>
      <c r="X252" s="41"/>
      <c r="Y252" s="9"/>
      <c r="Z252" s="9"/>
      <c r="AA252" s="9"/>
      <c r="AB252" s="7">
        <v>379003</v>
      </c>
      <c r="AC252" s="33"/>
      <c r="AD252" s="33"/>
      <c r="AE252" s="33"/>
      <c r="AF252" s="50">
        <v>46324</v>
      </c>
    </row>
    <row r="253" spans="2:32" x14ac:dyDescent="0.3">
      <c r="B253" s="13">
        <v>46084</v>
      </c>
      <c r="C253" s="61">
        <v>10018217</v>
      </c>
      <c r="D253" s="61">
        <v>1916882928</v>
      </c>
      <c r="E253" s="61">
        <v>1916882928</v>
      </c>
      <c r="F253" s="15" t="s">
        <v>1331</v>
      </c>
      <c r="G253" s="69">
        <v>46127</v>
      </c>
      <c r="H253" s="15" t="s">
        <v>251</v>
      </c>
      <c r="I253" s="15"/>
      <c r="J253" s="29">
        <v>44939</v>
      </c>
      <c r="K253" s="29">
        <v>45869</v>
      </c>
      <c r="L253" s="29" t="s">
        <v>211</v>
      </c>
      <c r="M253" s="29" t="s">
        <v>876</v>
      </c>
      <c r="N253" s="29" t="s">
        <v>25</v>
      </c>
      <c r="O253" s="29" t="s">
        <v>212</v>
      </c>
      <c r="P253" s="32"/>
      <c r="Q253" s="14"/>
      <c r="R253" s="37"/>
      <c r="S253" s="38"/>
      <c r="T253" s="30"/>
      <c r="U253" s="39"/>
      <c r="V253" s="40"/>
      <c r="W253" s="39"/>
      <c r="X253" s="41"/>
      <c r="Y253" s="9"/>
      <c r="Z253" s="9"/>
      <c r="AA253" s="9"/>
      <c r="AB253" s="7">
        <v>70318</v>
      </c>
      <c r="AC253" s="33"/>
      <c r="AD253" s="33"/>
      <c r="AE253" s="33"/>
      <c r="AF253" s="50">
        <v>46355</v>
      </c>
    </row>
    <row r="254" spans="2:32" x14ac:dyDescent="0.3">
      <c r="B254" s="13">
        <v>46084</v>
      </c>
      <c r="C254" s="61">
        <v>10020111</v>
      </c>
      <c r="D254" s="61">
        <v>8801823434722</v>
      </c>
      <c r="E254" s="61">
        <v>8801823434722</v>
      </c>
      <c r="F254" s="15" t="s">
        <v>886</v>
      </c>
      <c r="G254" s="69">
        <v>46127</v>
      </c>
      <c r="H254" s="15" t="s">
        <v>251</v>
      </c>
      <c r="I254" s="15"/>
      <c r="J254" s="29">
        <v>45292</v>
      </c>
      <c r="K254" s="29">
        <v>45871</v>
      </c>
      <c r="L254" s="29" t="s">
        <v>220</v>
      </c>
      <c r="M254" s="29" t="s">
        <v>94</v>
      </c>
      <c r="N254" s="29" t="s">
        <v>17</v>
      </c>
      <c r="O254" s="29" t="s">
        <v>221</v>
      </c>
      <c r="P254" s="32"/>
      <c r="Q254" s="14"/>
      <c r="R254" s="37"/>
      <c r="S254" s="38"/>
      <c r="T254" s="30"/>
      <c r="U254" s="39"/>
      <c r="V254" s="40"/>
      <c r="W254" s="39"/>
      <c r="X254" s="41"/>
      <c r="Y254" s="9"/>
      <c r="Z254" s="9"/>
      <c r="AA254" s="9"/>
      <c r="AB254" s="7">
        <v>15378</v>
      </c>
      <c r="AC254" s="33"/>
      <c r="AD254" s="33"/>
      <c r="AE254" s="33"/>
      <c r="AF254" s="50">
        <v>46366</v>
      </c>
    </row>
    <row r="255" spans="2:32" x14ac:dyDescent="0.3">
      <c r="B255" s="13">
        <v>46084</v>
      </c>
      <c r="C255" s="61">
        <v>10023675</v>
      </c>
      <c r="D255" s="61">
        <v>8801785543558</v>
      </c>
      <c r="E255" s="61">
        <v>8801785543558</v>
      </c>
      <c r="F255" s="15" t="s">
        <v>888</v>
      </c>
      <c r="G255" s="69">
        <v>46127</v>
      </c>
      <c r="H255" s="15" t="s">
        <v>251</v>
      </c>
      <c r="I255" s="15"/>
      <c r="J255" s="29">
        <v>45777</v>
      </c>
      <c r="K255" s="29">
        <v>45928</v>
      </c>
      <c r="L255" s="29" t="s">
        <v>211</v>
      </c>
      <c r="M255" s="29" t="s">
        <v>889</v>
      </c>
      <c r="N255" s="29" t="s">
        <v>25</v>
      </c>
      <c r="O255" s="29" t="s">
        <v>212</v>
      </c>
      <c r="P255" s="32"/>
      <c r="Q255" s="14"/>
      <c r="R255" s="37"/>
      <c r="S255" s="38"/>
      <c r="T255" s="30"/>
      <c r="U255" s="39"/>
      <c r="V255" s="40"/>
      <c r="W255" s="39"/>
      <c r="X255" s="41"/>
      <c r="Y255" s="9"/>
      <c r="Z255" s="9"/>
      <c r="AA255" s="9"/>
      <c r="AB255" s="7">
        <v>10315</v>
      </c>
      <c r="AC255" s="33"/>
      <c r="AD255" s="33"/>
      <c r="AE255" s="33"/>
      <c r="AF255" s="50">
        <v>46369</v>
      </c>
    </row>
    <row r="256" spans="2:32" x14ac:dyDescent="0.3">
      <c r="B256" s="13">
        <v>46040</v>
      </c>
      <c r="C256" s="61">
        <v>10019513</v>
      </c>
      <c r="D256" s="30" t="s">
        <v>562</v>
      </c>
      <c r="E256" s="30" t="s">
        <v>562</v>
      </c>
      <c r="F256" s="15" t="s">
        <v>388</v>
      </c>
      <c r="G256" s="69">
        <v>46128</v>
      </c>
      <c r="H256" s="15" t="s">
        <v>251</v>
      </c>
      <c r="I256" s="15"/>
      <c r="J256" s="29">
        <v>45181</v>
      </c>
      <c r="K256" s="29">
        <v>45691</v>
      </c>
      <c r="L256" s="29" t="s">
        <v>211</v>
      </c>
      <c r="M256" s="29" t="s">
        <v>102</v>
      </c>
      <c r="N256" s="29" t="s">
        <v>24</v>
      </c>
      <c r="O256" s="29" t="s">
        <v>212</v>
      </c>
      <c r="P256" s="32"/>
      <c r="Q256" s="14"/>
      <c r="R256" s="37"/>
      <c r="S256" s="38"/>
      <c r="T256" s="30"/>
      <c r="U256" s="39"/>
      <c r="V256" s="40"/>
      <c r="W256" s="39"/>
      <c r="X256" s="41"/>
      <c r="Y256" s="9"/>
      <c r="Z256" s="9"/>
      <c r="AA256" s="9"/>
      <c r="AB256" s="7">
        <v>34977</v>
      </c>
      <c r="AC256" s="33"/>
      <c r="AD256" s="33"/>
      <c r="AE256" s="33"/>
      <c r="AF256" s="50">
        <v>46221</v>
      </c>
    </row>
    <row r="257" spans="2:32" x14ac:dyDescent="0.3">
      <c r="B257" s="13">
        <v>46084</v>
      </c>
      <c r="C257" s="61">
        <v>10021718</v>
      </c>
      <c r="D257" s="61">
        <v>8801885191133</v>
      </c>
      <c r="E257" s="61">
        <v>8801885191133</v>
      </c>
      <c r="F257" s="15" t="s">
        <v>880</v>
      </c>
      <c r="G257" s="69">
        <v>46128</v>
      </c>
      <c r="H257" s="15" t="s">
        <v>251</v>
      </c>
      <c r="I257" s="15"/>
      <c r="J257" s="29">
        <v>45529</v>
      </c>
      <c r="K257" s="29">
        <v>45931</v>
      </c>
      <c r="L257" s="29" t="s">
        <v>211</v>
      </c>
      <c r="M257" s="29" t="s">
        <v>109</v>
      </c>
      <c r="N257" s="29" t="s">
        <v>23</v>
      </c>
      <c r="O257" s="29" t="s">
        <v>212</v>
      </c>
      <c r="P257" s="32"/>
      <c r="Q257" s="14"/>
      <c r="R257" s="37"/>
      <c r="S257" s="38"/>
      <c r="T257" s="30"/>
      <c r="U257" s="39"/>
      <c r="V257" s="40"/>
      <c r="W257" s="39"/>
      <c r="X257" s="41"/>
      <c r="Y257" s="9"/>
      <c r="Z257" s="9"/>
      <c r="AA257" s="9"/>
      <c r="AB257" s="7">
        <v>20772</v>
      </c>
      <c r="AC257" s="33"/>
      <c r="AD257" s="33"/>
      <c r="AE257" s="33"/>
      <c r="AF257" s="50">
        <v>46360</v>
      </c>
    </row>
    <row r="258" spans="2:32" x14ac:dyDescent="0.3">
      <c r="B258" s="13">
        <v>46040</v>
      </c>
      <c r="C258" s="61">
        <v>10017883</v>
      </c>
      <c r="D258" s="30" t="s">
        <v>539</v>
      </c>
      <c r="E258" s="30" t="s">
        <v>539</v>
      </c>
      <c r="F258" s="15" t="s">
        <v>38</v>
      </c>
      <c r="G258" s="69">
        <v>46131</v>
      </c>
      <c r="H258" s="15" t="s">
        <v>251</v>
      </c>
      <c r="I258" s="15"/>
      <c r="J258" s="29">
        <v>44860</v>
      </c>
      <c r="K258" s="29">
        <v>45778</v>
      </c>
      <c r="L258" s="29" t="s">
        <v>220</v>
      </c>
      <c r="M258" s="29" t="s">
        <v>291</v>
      </c>
      <c r="N258" s="29" t="s">
        <v>17</v>
      </c>
      <c r="O258" s="29" t="s">
        <v>221</v>
      </c>
      <c r="P258" s="32"/>
      <c r="Q258" s="14"/>
      <c r="R258" s="37"/>
      <c r="S258" s="38"/>
      <c r="T258" s="30"/>
      <c r="U258" s="39"/>
      <c r="V258" s="40"/>
      <c r="W258" s="39"/>
      <c r="X258" s="41"/>
      <c r="Y258" s="9"/>
      <c r="Z258" s="9"/>
      <c r="AA258" s="9"/>
      <c r="AB258" s="7">
        <v>34731</v>
      </c>
      <c r="AC258" s="33"/>
      <c r="AD258" s="33"/>
      <c r="AE258" s="33"/>
      <c r="AF258" s="50">
        <v>46221</v>
      </c>
    </row>
    <row r="259" spans="2:32" x14ac:dyDescent="0.3">
      <c r="B259" s="13">
        <v>46075</v>
      </c>
      <c r="C259" s="61">
        <v>10021595</v>
      </c>
      <c r="D259" s="30" t="s">
        <v>825</v>
      </c>
      <c r="E259" s="30" t="s">
        <v>825</v>
      </c>
      <c r="F259" s="15" t="s">
        <v>756</v>
      </c>
      <c r="G259" s="69">
        <v>46131</v>
      </c>
      <c r="H259" s="15" t="s">
        <v>251</v>
      </c>
      <c r="I259" s="15"/>
      <c r="J259" s="29">
        <v>45512</v>
      </c>
      <c r="K259" s="29">
        <v>45765</v>
      </c>
      <c r="L259" s="29" t="s">
        <v>211</v>
      </c>
      <c r="M259" s="29" t="s">
        <v>185</v>
      </c>
      <c r="N259" s="29" t="s">
        <v>24</v>
      </c>
      <c r="O259" s="29" t="s">
        <v>212</v>
      </c>
      <c r="P259" s="32"/>
      <c r="Q259" s="14"/>
      <c r="R259" s="37"/>
      <c r="S259" s="38"/>
      <c r="T259" s="30"/>
      <c r="U259" s="39"/>
      <c r="V259" s="40"/>
      <c r="W259" s="39"/>
      <c r="X259" s="41"/>
      <c r="Y259" s="9"/>
      <c r="Z259" s="9"/>
      <c r="AA259" s="9"/>
      <c r="AB259" s="7">
        <v>13149</v>
      </c>
      <c r="AC259" s="33"/>
      <c r="AD259" s="33"/>
      <c r="AE259" s="33"/>
      <c r="AF259" s="50">
        <v>46312</v>
      </c>
    </row>
    <row r="260" spans="2:32" x14ac:dyDescent="0.3">
      <c r="B260" s="13">
        <v>46040</v>
      </c>
      <c r="C260" s="61">
        <v>10021414</v>
      </c>
      <c r="D260" s="30" t="s">
        <v>602</v>
      </c>
      <c r="E260" s="30" t="s">
        <v>602</v>
      </c>
      <c r="F260" s="15" t="s">
        <v>435</v>
      </c>
      <c r="G260" s="69">
        <v>46132</v>
      </c>
      <c r="H260" s="15" t="s">
        <v>251</v>
      </c>
      <c r="I260" s="15"/>
      <c r="J260" s="29">
        <v>45479</v>
      </c>
      <c r="K260" s="29">
        <v>45809</v>
      </c>
      <c r="L260" s="29" t="s">
        <v>211</v>
      </c>
      <c r="M260" s="29" t="s">
        <v>119</v>
      </c>
      <c r="N260" s="29" t="s">
        <v>23</v>
      </c>
      <c r="O260" s="29" t="s">
        <v>212</v>
      </c>
      <c r="P260" s="32"/>
      <c r="Q260" s="14"/>
      <c r="R260" s="37"/>
      <c r="S260" s="38"/>
      <c r="T260" s="30"/>
      <c r="U260" s="39"/>
      <c r="V260" s="40"/>
      <c r="W260" s="39"/>
      <c r="X260" s="41"/>
      <c r="Y260" s="9"/>
      <c r="Z260" s="9"/>
      <c r="AA260" s="9"/>
      <c r="AB260" s="7">
        <v>8134</v>
      </c>
      <c r="AC260" s="33"/>
      <c r="AD260" s="33"/>
      <c r="AE260" s="33"/>
      <c r="AF260" s="50">
        <f t="shared" ref="AF260" si="4">EDATE(B260,6)</f>
        <v>46221</v>
      </c>
    </row>
    <row r="261" spans="2:32" x14ac:dyDescent="0.3">
      <c r="B261" s="13">
        <v>46040</v>
      </c>
      <c r="C261" s="61">
        <v>10023423</v>
      </c>
      <c r="D261" s="30">
        <v>1712856307</v>
      </c>
      <c r="E261" s="30" t="s">
        <v>653</v>
      </c>
      <c r="F261" s="15" t="s">
        <v>654</v>
      </c>
      <c r="G261" s="69">
        <v>46133</v>
      </c>
      <c r="H261" s="15" t="s">
        <v>251</v>
      </c>
      <c r="I261" s="15"/>
      <c r="J261" s="29">
        <v>45755</v>
      </c>
      <c r="K261" s="29">
        <v>45839</v>
      </c>
      <c r="L261" s="29" t="s">
        <v>211</v>
      </c>
      <c r="M261" s="29" t="s">
        <v>186</v>
      </c>
      <c r="N261" s="29" t="s">
        <v>23</v>
      </c>
      <c r="O261" s="29" t="s">
        <v>212</v>
      </c>
      <c r="P261" s="32"/>
      <c r="Q261" s="14"/>
      <c r="R261" s="37"/>
      <c r="S261" s="38"/>
      <c r="T261" s="30"/>
      <c r="U261" s="39"/>
      <c r="V261" s="40"/>
      <c r="W261" s="39"/>
      <c r="X261" s="41"/>
      <c r="Y261" s="9"/>
      <c r="Z261" s="9"/>
      <c r="AA261" s="9"/>
      <c r="AB261" s="7">
        <v>31580</v>
      </c>
      <c r="AC261" s="33"/>
      <c r="AD261" s="33"/>
      <c r="AE261" s="33"/>
      <c r="AF261" s="50">
        <v>46221</v>
      </c>
    </row>
    <row r="262" spans="2:32" x14ac:dyDescent="0.3">
      <c r="B262" s="13">
        <v>46055</v>
      </c>
      <c r="C262" s="61">
        <v>10021666</v>
      </c>
      <c r="D262" s="30" t="s">
        <v>796</v>
      </c>
      <c r="E262" s="30" t="s">
        <v>796</v>
      </c>
      <c r="F262" s="15" t="s">
        <v>731</v>
      </c>
      <c r="G262" s="69">
        <v>46133</v>
      </c>
      <c r="H262" s="15" t="s">
        <v>251</v>
      </c>
      <c r="I262" s="15"/>
      <c r="J262" s="29">
        <v>45521</v>
      </c>
      <c r="K262" s="29">
        <v>45650</v>
      </c>
      <c r="L262" s="29" t="s">
        <v>211</v>
      </c>
      <c r="M262" s="29" t="s">
        <v>172</v>
      </c>
      <c r="N262" s="29" t="s">
        <v>24</v>
      </c>
      <c r="O262" s="29" t="s">
        <v>212</v>
      </c>
      <c r="P262" s="32"/>
      <c r="Q262" s="14"/>
      <c r="R262" s="37"/>
      <c r="S262" s="38"/>
      <c r="T262" s="30"/>
      <c r="U262" s="39"/>
      <c r="V262" s="40"/>
      <c r="W262" s="39"/>
      <c r="X262" s="41"/>
      <c r="Y262" s="9"/>
      <c r="Z262" s="9"/>
      <c r="AA262" s="9"/>
      <c r="AB262" s="7">
        <v>12144</v>
      </c>
      <c r="AC262" s="33"/>
      <c r="AD262" s="33"/>
      <c r="AE262" s="33"/>
      <c r="AF262" s="50">
        <v>46283</v>
      </c>
    </row>
    <row r="263" spans="2:32" x14ac:dyDescent="0.3">
      <c r="B263" s="13">
        <v>46084</v>
      </c>
      <c r="C263" s="61">
        <v>10022616</v>
      </c>
      <c r="D263" s="61">
        <v>8801714833952</v>
      </c>
      <c r="E263" s="61">
        <v>8801714833952</v>
      </c>
      <c r="F263" s="15" t="s">
        <v>861</v>
      </c>
      <c r="G263" s="69">
        <v>46133</v>
      </c>
      <c r="H263" s="15" t="s">
        <v>251</v>
      </c>
      <c r="I263" s="15"/>
      <c r="J263" s="29">
        <v>45643</v>
      </c>
      <c r="K263" s="29">
        <v>45962</v>
      </c>
      <c r="L263" s="29" t="s">
        <v>211</v>
      </c>
      <c r="M263" s="29" t="s">
        <v>117</v>
      </c>
      <c r="N263" s="29" t="s">
        <v>23</v>
      </c>
      <c r="O263" s="29" t="s">
        <v>212</v>
      </c>
      <c r="P263" s="32"/>
      <c r="Q263" s="14"/>
      <c r="R263" s="37"/>
      <c r="S263" s="38"/>
      <c r="T263" s="30"/>
      <c r="U263" s="39"/>
      <c r="V263" s="40"/>
      <c r="W263" s="39"/>
      <c r="X263" s="41"/>
      <c r="Y263" s="9"/>
      <c r="Z263" s="9"/>
      <c r="AA263" s="9"/>
      <c r="AB263" s="7">
        <v>12159</v>
      </c>
      <c r="AC263" s="33"/>
      <c r="AD263" s="33"/>
      <c r="AE263" s="33"/>
      <c r="AF263" s="50">
        <v>46341</v>
      </c>
    </row>
    <row r="264" spans="2:32" x14ac:dyDescent="0.3">
      <c r="B264" s="13">
        <v>46040</v>
      </c>
      <c r="C264" s="61">
        <v>15726</v>
      </c>
      <c r="D264" s="30" t="s">
        <v>519</v>
      </c>
      <c r="E264" s="30" t="s">
        <v>519</v>
      </c>
      <c r="F264" s="15" t="s">
        <v>78</v>
      </c>
      <c r="G264" s="69">
        <v>46134</v>
      </c>
      <c r="H264" s="15" t="s">
        <v>251</v>
      </c>
      <c r="I264" s="15" t="s">
        <v>910</v>
      </c>
      <c r="J264" s="29">
        <v>44384</v>
      </c>
      <c r="K264" s="29">
        <v>45870</v>
      </c>
      <c r="L264" s="29" t="s">
        <v>219</v>
      </c>
      <c r="M264" s="29" t="s">
        <v>177</v>
      </c>
      <c r="N264" s="29" t="s">
        <v>24</v>
      </c>
      <c r="O264" s="29" t="s">
        <v>214</v>
      </c>
      <c r="P264" s="32"/>
      <c r="Q264" s="14"/>
      <c r="R264" s="37"/>
      <c r="S264" s="38"/>
      <c r="T264" s="30"/>
      <c r="U264" s="39"/>
      <c r="V264" s="40"/>
      <c r="W264" s="39"/>
      <c r="X264" s="41"/>
      <c r="Y264" s="9"/>
      <c r="Z264" s="9"/>
      <c r="AA264" s="9"/>
      <c r="AB264" s="7">
        <v>131632</v>
      </c>
      <c r="AC264" s="33"/>
      <c r="AD264" s="33"/>
      <c r="AE264" s="33"/>
      <c r="AF264" s="50">
        <v>46221</v>
      </c>
    </row>
    <row r="265" spans="2:32" x14ac:dyDescent="0.3">
      <c r="B265" s="13">
        <v>46084</v>
      </c>
      <c r="C265" s="61">
        <v>10018753</v>
      </c>
      <c r="D265" s="61">
        <v>1923856696</v>
      </c>
      <c r="E265" s="61">
        <v>1923856696</v>
      </c>
      <c r="F265" s="15" t="s">
        <v>865</v>
      </c>
      <c r="G265" s="69">
        <v>46134</v>
      </c>
      <c r="H265" s="15" t="s">
        <v>251</v>
      </c>
      <c r="I265" s="15"/>
      <c r="J265" s="29">
        <v>45047</v>
      </c>
      <c r="K265" s="29">
        <v>45809</v>
      </c>
      <c r="L265" s="29" t="s">
        <v>219</v>
      </c>
      <c r="M265" s="29" t="s">
        <v>120</v>
      </c>
      <c r="N265" s="29" t="s">
        <v>23</v>
      </c>
      <c r="O265" s="29" t="s">
        <v>214</v>
      </c>
      <c r="P265" s="32">
        <v>45658</v>
      </c>
      <c r="Q265" s="14"/>
      <c r="R265" s="37"/>
      <c r="S265" s="38"/>
      <c r="T265" s="30"/>
      <c r="U265" s="39"/>
      <c r="V265" s="40"/>
      <c r="W265" s="39"/>
      <c r="X265" s="41"/>
      <c r="Y265" s="9"/>
      <c r="Z265" s="9"/>
      <c r="AA265" s="9"/>
      <c r="AB265" s="7">
        <v>26355</v>
      </c>
      <c r="AC265" s="33"/>
      <c r="AD265" s="33"/>
      <c r="AE265" s="33"/>
      <c r="AF265" s="50">
        <v>46345</v>
      </c>
    </row>
    <row r="266" spans="2:32" x14ac:dyDescent="0.3">
      <c r="B266" s="13">
        <v>46040</v>
      </c>
      <c r="C266" s="61">
        <v>14043</v>
      </c>
      <c r="D266" s="30" t="s">
        <v>515</v>
      </c>
      <c r="E266" s="30" t="s">
        <v>515</v>
      </c>
      <c r="F266" s="15" t="s">
        <v>74</v>
      </c>
      <c r="G266" s="69">
        <v>46135</v>
      </c>
      <c r="H266" s="15" t="s">
        <v>251</v>
      </c>
      <c r="I266" s="15" t="s">
        <v>909</v>
      </c>
      <c r="J266" s="29">
        <v>43908</v>
      </c>
      <c r="K266" s="29">
        <v>45881</v>
      </c>
      <c r="L266" s="29" t="s">
        <v>219</v>
      </c>
      <c r="M266" s="29" t="s">
        <v>158</v>
      </c>
      <c r="N266" s="29" t="s">
        <v>23</v>
      </c>
      <c r="O266" s="29" t="s">
        <v>214</v>
      </c>
      <c r="P266" s="32"/>
      <c r="Q266" s="14"/>
      <c r="R266" s="37"/>
      <c r="S266" s="38"/>
      <c r="T266" s="30"/>
      <c r="U266" s="39"/>
      <c r="V266" s="40"/>
      <c r="W266" s="39"/>
      <c r="X266" s="41"/>
      <c r="Y266" s="9"/>
      <c r="Z266" s="9"/>
      <c r="AA266" s="9"/>
      <c r="AB266" s="7">
        <v>108010</v>
      </c>
      <c r="AC266" s="33"/>
      <c r="AD266" s="33"/>
      <c r="AE266" s="33"/>
      <c r="AF266" s="50">
        <v>46221</v>
      </c>
    </row>
    <row r="267" spans="2:32" x14ac:dyDescent="0.3">
      <c r="B267" s="13">
        <v>46055</v>
      </c>
      <c r="C267" s="61">
        <v>10021980</v>
      </c>
      <c r="D267" s="30" t="s">
        <v>805</v>
      </c>
      <c r="E267" s="30" t="s">
        <v>805</v>
      </c>
      <c r="F267" s="15" t="s">
        <v>464</v>
      </c>
      <c r="G267" s="69">
        <v>46135</v>
      </c>
      <c r="H267" s="15" t="s">
        <v>251</v>
      </c>
      <c r="I267" s="15" t="s">
        <v>914</v>
      </c>
      <c r="J267" s="29">
        <v>45566</v>
      </c>
      <c r="K267" s="29">
        <v>45748</v>
      </c>
      <c r="L267" s="29" t="s">
        <v>219</v>
      </c>
      <c r="M267" s="29" t="s">
        <v>166</v>
      </c>
      <c r="N267" s="29" t="s">
        <v>23</v>
      </c>
      <c r="O267" s="29" t="s">
        <v>214</v>
      </c>
      <c r="P267" s="32"/>
      <c r="Q267" s="14"/>
      <c r="R267" s="37"/>
      <c r="S267" s="38"/>
      <c r="T267" s="30"/>
      <c r="U267" s="39"/>
      <c r="V267" s="40"/>
      <c r="W267" s="39"/>
      <c r="X267" s="41"/>
      <c r="Y267" s="9"/>
      <c r="Z267" s="9"/>
      <c r="AA267" s="9"/>
      <c r="AB267" s="7">
        <v>6202</v>
      </c>
      <c r="AC267" s="33"/>
      <c r="AD267" s="33"/>
      <c r="AE267" s="33"/>
      <c r="AF267" s="50">
        <v>46293</v>
      </c>
    </row>
    <row r="268" spans="2:32" x14ac:dyDescent="0.3">
      <c r="B268" s="13">
        <v>45965</v>
      </c>
      <c r="C268" s="61">
        <v>15268</v>
      </c>
      <c r="D268" s="30" t="s">
        <v>198</v>
      </c>
      <c r="E268" s="30"/>
      <c r="F268" s="15" t="s">
        <v>64</v>
      </c>
      <c r="G268" s="69">
        <v>46135</v>
      </c>
      <c r="H268" s="15" t="s">
        <v>251</v>
      </c>
      <c r="I268" s="49">
        <v>44289</v>
      </c>
      <c r="J268" s="49">
        <v>45658</v>
      </c>
      <c r="K268" s="49" t="s">
        <v>238</v>
      </c>
      <c r="L268" s="29" t="s">
        <v>108</v>
      </c>
      <c r="M268" s="29" t="s">
        <v>23</v>
      </c>
      <c r="N268" s="29" t="s">
        <v>212</v>
      </c>
      <c r="O268" s="32"/>
      <c r="P268" s="14" t="s">
        <v>254</v>
      </c>
      <c r="Q268" s="37" t="s">
        <v>255</v>
      </c>
      <c r="R268" s="38">
        <v>38531</v>
      </c>
      <c r="S268" s="30" t="s">
        <v>256</v>
      </c>
      <c r="T268" s="39">
        <v>71949</v>
      </c>
      <c r="U268" s="40">
        <v>0</v>
      </c>
      <c r="V268" s="39">
        <v>0</v>
      </c>
      <c r="W268" s="41">
        <v>0</v>
      </c>
      <c r="X268" s="9">
        <v>0</v>
      </c>
      <c r="Y268" s="9"/>
      <c r="Z268" s="9"/>
      <c r="AA268" s="7">
        <v>110480</v>
      </c>
      <c r="AB268" s="33"/>
      <c r="AC268" s="33"/>
      <c r="AD268" s="33"/>
      <c r="AE268" s="50">
        <f t="shared" ref="AE268:AE269" si="5">EDATE(B268,6)</f>
        <v>46146</v>
      </c>
    </row>
    <row r="269" spans="2:32" x14ac:dyDescent="0.3">
      <c r="B269" s="13">
        <v>45998</v>
      </c>
      <c r="C269" s="61">
        <v>10023081</v>
      </c>
      <c r="D269" s="30" t="s">
        <v>347</v>
      </c>
      <c r="E269" s="30"/>
      <c r="F269" s="15" t="s">
        <v>287</v>
      </c>
      <c r="G269" s="69">
        <v>46138</v>
      </c>
      <c r="H269" s="15" t="s">
        <v>251</v>
      </c>
      <c r="I269" s="29">
        <v>45659</v>
      </c>
      <c r="J269" s="29">
        <v>45716</v>
      </c>
      <c r="K269" s="29" t="s">
        <v>211</v>
      </c>
      <c r="L269" s="29" t="s">
        <v>136</v>
      </c>
      <c r="M269" s="29" t="s">
        <v>16</v>
      </c>
      <c r="N269" s="29" t="s">
        <v>212</v>
      </c>
      <c r="O269" s="32"/>
      <c r="P269" s="14"/>
      <c r="Q269" s="37"/>
      <c r="R269" s="38"/>
      <c r="S269" s="30"/>
      <c r="T269" s="39"/>
      <c r="U269" s="40"/>
      <c r="V269" s="39"/>
      <c r="W269" s="41"/>
      <c r="X269" s="9"/>
      <c r="Y269" s="9"/>
      <c r="Z269" s="9"/>
      <c r="AA269" s="7">
        <v>28362</v>
      </c>
      <c r="AB269" s="33"/>
      <c r="AC269" s="33"/>
      <c r="AD269" s="33"/>
      <c r="AE269" s="50">
        <f t="shared" si="5"/>
        <v>46180</v>
      </c>
    </row>
    <row r="270" spans="2:32" x14ac:dyDescent="0.3">
      <c r="B270" s="13">
        <v>46040</v>
      </c>
      <c r="C270" s="61">
        <v>10021816</v>
      </c>
      <c r="D270" s="30">
        <v>8801312343068</v>
      </c>
      <c r="E270" s="30" t="s">
        <v>614</v>
      </c>
      <c r="F270" s="15" t="s">
        <v>420</v>
      </c>
      <c r="G270" s="69">
        <v>46138</v>
      </c>
      <c r="H270" s="15" t="s">
        <v>251</v>
      </c>
      <c r="I270" s="15" t="s">
        <v>913</v>
      </c>
      <c r="J270" s="29">
        <v>45544</v>
      </c>
      <c r="K270" s="29">
        <v>45785</v>
      </c>
      <c r="L270" s="29" t="s">
        <v>211</v>
      </c>
      <c r="M270" s="29" t="s">
        <v>120</v>
      </c>
      <c r="N270" s="29" t="s">
        <v>23</v>
      </c>
      <c r="O270" s="29" t="s">
        <v>212</v>
      </c>
      <c r="P270" s="32"/>
      <c r="Q270" s="14"/>
      <c r="R270" s="37"/>
      <c r="S270" s="38"/>
      <c r="T270" s="30"/>
      <c r="U270" s="39"/>
      <c r="V270" s="40"/>
      <c r="W270" s="39"/>
      <c r="X270" s="41"/>
      <c r="Y270" s="9"/>
      <c r="Z270" s="9"/>
      <c r="AA270" s="9"/>
      <c r="AB270" s="7">
        <v>11116</v>
      </c>
      <c r="AC270" s="33"/>
      <c r="AD270" s="33"/>
      <c r="AE270" s="33"/>
      <c r="AF270" s="50">
        <v>46221</v>
      </c>
    </row>
    <row r="271" spans="2:32" x14ac:dyDescent="0.3">
      <c r="B271" s="13">
        <v>46040</v>
      </c>
      <c r="C271" s="61">
        <v>10023322</v>
      </c>
      <c r="D271" s="30" t="s">
        <v>650</v>
      </c>
      <c r="E271" s="30" t="s">
        <v>650</v>
      </c>
      <c r="F271" s="15" t="s">
        <v>298</v>
      </c>
      <c r="G271" s="69">
        <v>46138</v>
      </c>
      <c r="H271" s="15" t="s">
        <v>251</v>
      </c>
      <c r="I271" s="15"/>
      <c r="J271" s="29">
        <v>45721</v>
      </c>
      <c r="K271" s="29">
        <v>45809</v>
      </c>
      <c r="L271" s="29" t="s">
        <v>211</v>
      </c>
      <c r="M271" s="29" t="s">
        <v>132</v>
      </c>
      <c r="N271" s="29" t="s">
        <v>23</v>
      </c>
      <c r="O271" s="29" t="s">
        <v>212</v>
      </c>
      <c r="P271" s="32"/>
      <c r="Q271" s="14"/>
      <c r="R271" s="37"/>
      <c r="S271" s="38"/>
      <c r="T271" s="30"/>
      <c r="U271" s="39"/>
      <c r="V271" s="40"/>
      <c r="W271" s="39"/>
      <c r="X271" s="41"/>
      <c r="Y271" s="9"/>
      <c r="Z271" s="9"/>
      <c r="AA271" s="9"/>
      <c r="AB271" s="7">
        <v>7048</v>
      </c>
      <c r="AC271" s="33"/>
      <c r="AD271" s="33"/>
      <c r="AE271" s="33"/>
      <c r="AF271" s="50">
        <v>46221</v>
      </c>
    </row>
    <row r="272" spans="2:32" x14ac:dyDescent="0.3">
      <c r="B272" s="13">
        <v>46075</v>
      </c>
      <c r="C272" s="61">
        <v>13567</v>
      </c>
      <c r="D272" s="30" t="s">
        <v>834</v>
      </c>
      <c r="E272" s="30" t="s">
        <v>835</v>
      </c>
      <c r="F272" s="15" t="s">
        <v>765</v>
      </c>
      <c r="G272" s="69">
        <v>46138</v>
      </c>
      <c r="H272" s="15" t="s">
        <v>251</v>
      </c>
      <c r="I272" s="15"/>
      <c r="J272" s="29">
        <v>43831</v>
      </c>
      <c r="K272" s="29">
        <v>45825</v>
      </c>
      <c r="L272" s="29" t="s">
        <v>219</v>
      </c>
      <c r="M272" s="29" t="s">
        <v>341</v>
      </c>
      <c r="N272" s="29" t="s">
        <v>25</v>
      </c>
      <c r="O272" s="29" t="s">
        <v>214</v>
      </c>
      <c r="P272" s="32">
        <v>45292</v>
      </c>
      <c r="Q272" s="14"/>
      <c r="R272" s="37"/>
      <c r="S272" s="38"/>
      <c r="T272" s="30"/>
      <c r="U272" s="39"/>
      <c r="V272" s="40"/>
      <c r="W272" s="39"/>
      <c r="X272" s="41"/>
      <c r="Y272" s="9"/>
      <c r="Z272" s="9"/>
      <c r="AA272" s="9"/>
      <c r="AB272" s="7">
        <v>192013</v>
      </c>
      <c r="AC272" s="33"/>
      <c r="AD272" s="33"/>
      <c r="AE272" s="33"/>
      <c r="AF272" s="50">
        <v>46321</v>
      </c>
    </row>
    <row r="273" spans="2:32" x14ac:dyDescent="0.3">
      <c r="B273" s="13">
        <v>46055</v>
      </c>
      <c r="C273" s="61">
        <v>10020443</v>
      </c>
      <c r="D273" s="30" t="s">
        <v>72</v>
      </c>
      <c r="E273" s="30" t="s">
        <v>72</v>
      </c>
      <c r="F273" s="15" t="s">
        <v>322</v>
      </c>
      <c r="G273" s="69">
        <v>46139</v>
      </c>
      <c r="H273" s="15" t="s">
        <v>251</v>
      </c>
      <c r="I273" s="15" t="s">
        <v>918</v>
      </c>
      <c r="J273" s="29">
        <v>45323</v>
      </c>
      <c r="K273" s="29">
        <v>45901</v>
      </c>
      <c r="L273" s="29" t="s">
        <v>344</v>
      </c>
      <c r="M273" s="29" t="s">
        <v>104</v>
      </c>
      <c r="N273" s="29" t="s">
        <v>260</v>
      </c>
      <c r="O273" s="29" t="s">
        <v>335</v>
      </c>
      <c r="P273" s="32"/>
      <c r="Q273" s="14"/>
      <c r="R273" s="37"/>
      <c r="S273" s="38"/>
      <c r="T273" s="30"/>
      <c r="U273" s="39"/>
      <c r="V273" s="40"/>
      <c r="W273" s="39"/>
      <c r="X273" s="41"/>
      <c r="Y273" s="9"/>
      <c r="Z273" s="9"/>
      <c r="AA273" s="9"/>
      <c r="AB273" s="7">
        <v>33812</v>
      </c>
      <c r="AC273" s="33"/>
      <c r="AD273" s="33"/>
      <c r="AE273" s="33"/>
      <c r="AF273" s="50">
        <v>46278</v>
      </c>
    </row>
    <row r="274" spans="2:32" x14ac:dyDescent="0.3">
      <c r="B274" s="13">
        <v>46040</v>
      </c>
      <c r="C274" s="61">
        <v>10023170</v>
      </c>
      <c r="D274" s="30" t="s">
        <v>648</v>
      </c>
      <c r="E274" s="30" t="s">
        <v>648</v>
      </c>
      <c r="F274" s="15" t="s">
        <v>471</v>
      </c>
      <c r="G274" s="69">
        <v>46140</v>
      </c>
      <c r="H274" s="15" t="s">
        <v>251</v>
      </c>
      <c r="I274" s="15"/>
      <c r="J274" s="29">
        <v>45693</v>
      </c>
      <c r="K274" s="29">
        <v>45870</v>
      </c>
      <c r="L274" s="29" t="s">
        <v>211</v>
      </c>
      <c r="M274" s="29" t="s">
        <v>120</v>
      </c>
      <c r="N274" s="29" t="s">
        <v>23</v>
      </c>
      <c r="O274" s="29" t="s">
        <v>212</v>
      </c>
      <c r="P274" s="32"/>
      <c r="Q274" s="14"/>
      <c r="R274" s="37"/>
      <c r="S274" s="38"/>
      <c r="T274" s="30"/>
      <c r="U274" s="39"/>
      <c r="V274" s="40"/>
      <c r="W274" s="39"/>
      <c r="X274" s="41"/>
      <c r="Y274" s="9"/>
      <c r="Z274" s="9"/>
      <c r="AA274" s="9"/>
      <c r="AB274" s="7">
        <v>8044</v>
      </c>
      <c r="AC274" s="33"/>
      <c r="AD274" s="33"/>
      <c r="AE274" s="33"/>
      <c r="AF274" s="50">
        <f t="shared" ref="AF274" si="6">EDATE(B274,6)</f>
        <v>46221</v>
      </c>
    </row>
    <row r="275" spans="2:32" x14ac:dyDescent="0.3">
      <c r="B275" s="13">
        <v>46055</v>
      </c>
      <c r="C275" s="61">
        <v>10024694</v>
      </c>
      <c r="D275" s="30" t="s">
        <v>792</v>
      </c>
      <c r="E275" s="30" t="s">
        <v>792</v>
      </c>
      <c r="F275" s="15" t="s">
        <v>728</v>
      </c>
      <c r="G275" s="69">
        <v>46141</v>
      </c>
      <c r="H275" s="15" t="s">
        <v>251</v>
      </c>
      <c r="I275" s="15"/>
      <c r="J275" s="29">
        <v>45939</v>
      </c>
      <c r="K275" s="29">
        <v>45953</v>
      </c>
      <c r="L275" s="29" t="s">
        <v>220</v>
      </c>
      <c r="M275" s="29" t="s">
        <v>94</v>
      </c>
      <c r="N275" s="29" t="s">
        <v>17</v>
      </c>
      <c r="O275" s="29" t="s">
        <v>221</v>
      </c>
      <c r="P275" s="32"/>
      <c r="Q275" s="14"/>
      <c r="R275" s="37"/>
      <c r="S275" s="38"/>
      <c r="T275" s="30"/>
      <c r="U275" s="39"/>
      <c r="V275" s="40"/>
      <c r="W275" s="39"/>
      <c r="X275" s="41"/>
      <c r="Y275" s="9"/>
      <c r="Z275" s="9"/>
      <c r="AA275" s="9"/>
      <c r="AB275" s="7">
        <v>7452</v>
      </c>
      <c r="AC275" s="33"/>
      <c r="AD275" s="33"/>
      <c r="AE275" s="33"/>
      <c r="AF275" s="50">
        <v>46279</v>
      </c>
    </row>
    <row r="276" spans="2:32" x14ac:dyDescent="0.3">
      <c r="B276" s="13">
        <v>46040</v>
      </c>
      <c r="C276" s="61">
        <v>10022516</v>
      </c>
      <c r="D276" s="30" t="s">
        <v>631</v>
      </c>
      <c r="E276" s="30" t="s">
        <v>631</v>
      </c>
      <c r="F276" s="15" t="s">
        <v>319</v>
      </c>
      <c r="G276" s="69">
        <v>46142</v>
      </c>
      <c r="H276" s="15" t="s">
        <v>251</v>
      </c>
      <c r="I276" s="15"/>
      <c r="J276" s="29">
        <v>45634</v>
      </c>
      <c r="K276" s="29">
        <v>45777</v>
      </c>
      <c r="L276" s="29" t="s">
        <v>211</v>
      </c>
      <c r="M276" s="29" t="s">
        <v>117</v>
      </c>
      <c r="N276" s="29" t="s">
        <v>23</v>
      </c>
      <c r="O276" s="29" t="s">
        <v>212</v>
      </c>
      <c r="P276" s="32"/>
      <c r="Q276" s="14"/>
      <c r="R276" s="37"/>
      <c r="S276" s="38"/>
      <c r="T276" s="30"/>
      <c r="U276" s="39"/>
      <c r="V276" s="40"/>
      <c r="W276" s="39"/>
      <c r="X276" s="41"/>
      <c r="Y276" s="9"/>
      <c r="Z276" s="9"/>
      <c r="AA276" s="9"/>
      <c r="AB276" s="7">
        <v>7922</v>
      </c>
      <c r="AC276" s="33"/>
      <c r="AD276" s="33"/>
      <c r="AE276" s="33"/>
      <c r="AF276" s="50">
        <f t="shared" ref="AF276" si="7">EDATE(B276,6)</f>
        <v>46221</v>
      </c>
    </row>
    <row r="277" spans="2:32" x14ac:dyDescent="0.3">
      <c r="B277" s="13">
        <v>46075</v>
      </c>
      <c r="C277" s="61">
        <v>10023116</v>
      </c>
      <c r="D277" s="30" t="s">
        <v>822</v>
      </c>
      <c r="E277" s="30" t="s">
        <v>822</v>
      </c>
      <c r="F277" s="15" t="s">
        <v>754</v>
      </c>
      <c r="G277" s="75">
        <v>46145</v>
      </c>
      <c r="H277" s="15" t="s">
        <v>251</v>
      </c>
      <c r="I277" s="15"/>
      <c r="J277" s="29">
        <v>45664</v>
      </c>
      <c r="K277" s="29">
        <v>45757</v>
      </c>
      <c r="L277" s="29" t="s">
        <v>219</v>
      </c>
      <c r="M277" s="29" t="s">
        <v>646</v>
      </c>
      <c r="N277" s="29" t="s">
        <v>16</v>
      </c>
      <c r="O277" s="29" t="s">
        <v>214</v>
      </c>
      <c r="P277" s="32"/>
      <c r="Q277" s="14"/>
      <c r="R277" s="37"/>
      <c r="S277" s="38"/>
      <c r="T277" s="30"/>
      <c r="U277" s="39"/>
      <c r="V277" s="40"/>
      <c r="W277" s="39"/>
      <c r="X277" s="41"/>
      <c r="Y277" s="9"/>
      <c r="Z277" s="9"/>
      <c r="AA277" s="9"/>
      <c r="AB277" s="7">
        <v>17684</v>
      </c>
      <c r="AC277" s="33"/>
      <c r="AD277" s="33"/>
      <c r="AE277" s="33"/>
      <c r="AF277" s="50">
        <v>46310</v>
      </c>
    </row>
    <row r="278" spans="2:32" x14ac:dyDescent="0.3">
      <c r="B278" s="13">
        <v>46127</v>
      </c>
      <c r="C278" s="70">
        <v>10022189</v>
      </c>
      <c r="D278" s="61">
        <v>8801676992816</v>
      </c>
      <c r="E278" s="61">
        <v>8801676992816</v>
      </c>
      <c r="F278" s="65" t="s">
        <v>282</v>
      </c>
      <c r="G278" s="75">
        <v>46145</v>
      </c>
      <c r="H278" s="15" t="s">
        <v>251</v>
      </c>
      <c r="I278" s="15" t="s">
        <v>1224</v>
      </c>
      <c r="J278" s="29">
        <v>45600</v>
      </c>
      <c r="K278" s="29">
        <v>46054</v>
      </c>
      <c r="L278" s="29" t="s">
        <v>1208</v>
      </c>
      <c r="M278" s="29" t="s">
        <v>679</v>
      </c>
      <c r="N278" s="29" t="s">
        <v>680</v>
      </c>
      <c r="O278" s="29" t="s">
        <v>212</v>
      </c>
      <c r="P278" s="32"/>
      <c r="Q278" s="14" t="s">
        <v>1222</v>
      </c>
      <c r="R278" s="37"/>
      <c r="S278" s="38"/>
      <c r="T278" s="30"/>
      <c r="U278" s="39"/>
      <c r="V278" s="40"/>
      <c r="W278" s="39"/>
      <c r="X278" s="41"/>
      <c r="Y278" s="9"/>
      <c r="Z278" s="9"/>
      <c r="AA278" s="9"/>
      <c r="AB278" s="7">
        <v>23940</v>
      </c>
      <c r="AC278" s="33"/>
      <c r="AD278" s="33"/>
      <c r="AE278" s="33"/>
      <c r="AF278" s="66">
        <v>46310</v>
      </c>
    </row>
    <row r="279" spans="2:32" x14ac:dyDescent="0.3">
      <c r="B279" s="13">
        <v>46127</v>
      </c>
      <c r="C279" s="70">
        <v>12073</v>
      </c>
      <c r="D279" s="61">
        <v>8801847345758</v>
      </c>
      <c r="E279" s="61">
        <v>1916347038</v>
      </c>
      <c r="F279" s="65" t="s">
        <v>920</v>
      </c>
      <c r="G279" s="75">
        <v>46145</v>
      </c>
      <c r="H279" s="15" t="s">
        <v>251</v>
      </c>
      <c r="I279" s="15" t="s">
        <v>1224</v>
      </c>
      <c r="J279" s="29">
        <v>43474</v>
      </c>
      <c r="K279" s="29">
        <v>46023</v>
      </c>
      <c r="L279" s="29" t="s">
        <v>219</v>
      </c>
      <c r="M279" s="29" t="s">
        <v>110</v>
      </c>
      <c r="N279" s="29" t="s">
        <v>23</v>
      </c>
      <c r="O279" s="29" t="s">
        <v>214</v>
      </c>
      <c r="P279" s="32"/>
      <c r="Q279" s="14" t="s">
        <v>1222</v>
      </c>
      <c r="R279" s="37"/>
      <c r="S279" s="38"/>
      <c r="T279" s="30"/>
      <c r="U279" s="39"/>
      <c r="V279" s="40"/>
      <c r="W279" s="39"/>
      <c r="X279" s="41"/>
      <c r="Y279" s="9"/>
      <c r="Z279" s="9"/>
      <c r="AA279" s="9"/>
      <c r="AB279" s="7">
        <v>519940</v>
      </c>
      <c r="AC279" s="33"/>
      <c r="AD279" s="33"/>
      <c r="AE279" s="33"/>
      <c r="AF279" s="66">
        <v>46310</v>
      </c>
    </row>
    <row r="280" spans="2:32" x14ac:dyDescent="0.3">
      <c r="B280" s="13">
        <v>46127</v>
      </c>
      <c r="C280" s="70">
        <v>10022941</v>
      </c>
      <c r="D280" s="30" t="s">
        <v>1068</v>
      </c>
      <c r="E280" s="30" t="s">
        <v>1068</v>
      </c>
      <c r="F280" s="65" t="s">
        <v>932</v>
      </c>
      <c r="G280" s="75">
        <v>46145</v>
      </c>
      <c r="H280" s="15" t="s">
        <v>251</v>
      </c>
      <c r="I280" s="15" t="s">
        <v>1224</v>
      </c>
      <c r="J280" s="29">
        <v>45664</v>
      </c>
      <c r="K280" s="29">
        <v>45931</v>
      </c>
      <c r="L280" s="29" t="s">
        <v>219</v>
      </c>
      <c r="M280" s="29" t="s">
        <v>158</v>
      </c>
      <c r="N280" s="29" t="s">
        <v>23</v>
      </c>
      <c r="O280" s="29" t="s">
        <v>214</v>
      </c>
      <c r="P280" s="32"/>
      <c r="Q280" s="14" t="s">
        <v>1222</v>
      </c>
      <c r="R280" s="37"/>
      <c r="S280" s="38"/>
      <c r="T280" s="30"/>
      <c r="U280" s="39"/>
      <c r="V280" s="40"/>
      <c r="W280" s="39"/>
      <c r="X280" s="41"/>
      <c r="Y280" s="9"/>
      <c r="Z280" s="9"/>
      <c r="AA280" s="9"/>
      <c r="AB280" s="7">
        <v>41760</v>
      </c>
      <c r="AC280" s="33"/>
      <c r="AD280" s="33"/>
      <c r="AE280" s="33"/>
      <c r="AF280" s="66">
        <v>46310</v>
      </c>
    </row>
    <row r="281" spans="2:32" x14ac:dyDescent="0.3">
      <c r="B281" s="13">
        <v>46127</v>
      </c>
      <c r="C281" s="70">
        <v>10022316</v>
      </c>
      <c r="D281" s="30" t="s">
        <v>1096</v>
      </c>
      <c r="E281" s="30" t="s">
        <v>1096</v>
      </c>
      <c r="F281" s="65" t="s">
        <v>668</v>
      </c>
      <c r="G281" s="75">
        <v>46145</v>
      </c>
      <c r="H281" s="15" t="s">
        <v>251</v>
      </c>
      <c r="I281" s="15" t="s">
        <v>1224</v>
      </c>
      <c r="J281" s="29">
        <v>45595</v>
      </c>
      <c r="K281" s="29">
        <v>45901</v>
      </c>
      <c r="L281" s="29" t="s">
        <v>219</v>
      </c>
      <c r="M281" s="29" t="s">
        <v>190</v>
      </c>
      <c r="N281" s="29" t="s">
        <v>23</v>
      </c>
      <c r="O281" s="29" t="s">
        <v>214</v>
      </c>
      <c r="P281" s="32"/>
      <c r="Q281" s="14" t="s">
        <v>1222</v>
      </c>
      <c r="R281" s="37"/>
      <c r="S281" s="38"/>
      <c r="T281" s="30"/>
      <c r="U281" s="39"/>
      <c r="V281" s="40"/>
      <c r="W281" s="39"/>
      <c r="X281" s="41"/>
      <c r="Y281" s="9"/>
      <c r="Z281" s="9"/>
      <c r="AA281" s="9"/>
      <c r="AB281" s="7">
        <v>16243</v>
      </c>
      <c r="AC281" s="33"/>
      <c r="AD281" s="33"/>
      <c r="AE281" s="33"/>
      <c r="AF281" s="66">
        <v>46310</v>
      </c>
    </row>
    <row r="282" spans="2:32" x14ac:dyDescent="0.3">
      <c r="B282" s="13">
        <v>46127</v>
      </c>
      <c r="C282" s="70">
        <v>10021822</v>
      </c>
      <c r="D282" s="30" t="s">
        <v>1098</v>
      </c>
      <c r="E282" s="30" t="s">
        <v>1098</v>
      </c>
      <c r="F282" s="65" t="s">
        <v>952</v>
      </c>
      <c r="G282" s="75">
        <v>46145</v>
      </c>
      <c r="H282" s="15" t="s">
        <v>251</v>
      </c>
      <c r="I282" s="15" t="s">
        <v>1224</v>
      </c>
      <c r="J282" s="29">
        <v>45537</v>
      </c>
      <c r="K282" s="29">
        <v>45870</v>
      </c>
      <c r="L282" s="29" t="s">
        <v>219</v>
      </c>
      <c r="M282" s="29" t="s">
        <v>168</v>
      </c>
      <c r="N282" s="29" t="s">
        <v>23</v>
      </c>
      <c r="O282" s="29" t="s">
        <v>214</v>
      </c>
      <c r="P282" s="32"/>
      <c r="Q282" s="14" t="s">
        <v>1222</v>
      </c>
      <c r="R282" s="37"/>
      <c r="S282" s="38"/>
      <c r="T282" s="30"/>
      <c r="U282" s="39"/>
      <c r="V282" s="40"/>
      <c r="W282" s="39"/>
      <c r="X282" s="41"/>
      <c r="Y282" s="9"/>
      <c r="Z282" s="9"/>
      <c r="AA282" s="9"/>
      <c r="AB282" s="7">
        <v>11084</v>
      </c>
      <c r="AC282" s="33"/>
      <c r="AD282" s="33"/>
      <c r="AE282" s="33"/>
      <c r="AF282" s="66">
        <v>46310</v>
      </c>
    </row>
    <row r="283" spans="2:32" x14ac:dyDescent="0.3">
      <c r="B283" s="13">
        <v>46127</v>
      </c>
      <c r="C283" s="70">
        <v>12873</v>
      </c>
      <c r="D283" s="30" t="s">
        <v>1186</v>
      </c>
      <c r="E283" s="30" t="s">
        <v>1186</v>
      </c>
      <c r="F283" s="65" t="s">
        <v>288</v>
      </c>
      <c r="G283" s="75">
        <v>46145</v>
      </c>
      <c r="H283" s="15" t="s">
        <v>251</v>
      </c>
      <c r="I283" s="15" t="s">
        <v>1224</v>
      </c>
      <c r="J283" s="29">
        <v>43651</v>
      </c>
      <c r="K283" s="29">
        <v>45809</v>
      </c>
      <c r="L283" s="29" t="s">
        <v>219</v>
      </c>
      <c r="M283" s="29" t="s">
        <v>67</v>
      </c>
      <c r="N283" s="29" t="s">
        <v>24</v>
      </c>
      <c r="O283" s="29" t="s">
        <v>214</v>
      </c>
      <c r="P283" s="32">
        <v>45292</v>
      </c>
      <c r="Q283" s="14" t="s">
        <v>1222</v>
      </c>
      <c r="R283" s="37"/>
      <c r="S283" s="38"/>
      <c r="T283" s="30"/>
      <c r="U283" s="39"/>
      <c r="V283" s="40"/>
      <c r="W283" s="39"/>
      <c r="X283" s="41"/>
      <c r="Y283" s="9"/>
      <c r="Z283" s="9"/>
      <c r="AA283" s="9"/>
      <c r="AB283" s="7">
        <v>136253</v>
      </c>
      <c r="AC283" s="33"/>
      <c r="AD283" s="33"/>
      <c r="AE283" s="33"/>
      <c r="AF283" s="66">
        <v>46310</v>
      </c>
    </row>
    <row r="284" spans="2:32" x14ac:dyDescent="0.3">
      <c r="B284" s="13">
        <v>46127</v>
      </c>
      <c r="C284" s="70">
        <v>10023337</v>
      </c>
      <c r="D284" s="30" t="s">
        <v>1107</v>
      </c>
      <c r="E284" s="30" t="s">
        <v>1107</v>
      </c>
      <c r="F284" s="65" t="s">
        <v>960</v>
      </c>
      <c r="G284" s="75">
        <v>46145</v>
      </c>
      <c r="H284" s="15" t="s">
        <v>251</v>
      </c>
      <c r="I284" s="15" t="s">
        <v>1224</v>
      </c>
      <c r="J284" s="29">
        <v>45720</v>
      </c>
      <c r="K284" s="29">
        <v>45872</v>
      </c>
      <c r="L284" s="29" t="s">
        <v>211</v>
      </c>
      <c r="M284" s="29" t="s">
        <v>115</v>
      </c>
      <c r="N284" s="29" t="s">
        <v>23</v>
      </c>
      <c r="O284" s="29" t="s">
        <v>212</v>
      </c>
      <c r="P284" s="32"/>
      <c r="Q284" s="14" t="s">
        <v>1222</v>
      </c>
      <c r="R284" s="37"/>
      <c r="S284" s="38"/>
      <c r="T284" s="30"/>
      <c r="U284" s="39"/>
      <c r="V284" s="40"/>
      <c r="W284" s="39"/>
      <c r="X284" s="41"/>
      <c r="Y284" s="9"/>
      <c r="Z284" s="9"/>
      <c r="AA284" s="9"/>
      <c r="AB284" s="7">
        <v>9392</v>
      </c>
      <c r="AC284" s="33"/>
      <c r="AD284" s="33"/>
      <c r="AE284" s="33"/>
      <c r="AF284" s="66">
        <v>46310</v>
      </c>
    </row>
    <row r="285" spans="2:32" x14ac:dyDescent="0.3">
      <c r="B285" s="13">
        <v>46127</v>
      </c>
      <c r="C285" s="70">
        <v>10022642</v>
      </c>
      <c r="D285" s="61">
        <v>8801793074616</v>
      </c>
      <c r="E285" s="61">
        <v>8801793074616</v>
      </c>
      <c r="F285" s="65" t="s">
        <v>1005</v>
      </c>
      <c r="G285" s="75">
        <v>46145</v>
      </c>
      <c r="H285" s="15" t="s">
        <v>251</v>
      </c>
      <c r="I285" s="15" t="s">
        <v>1224</v>
      </c>
      <c r="J285" s="29">
        <v>45646</v>
      </c>
      <c r="K285" s="29">
        <v>45870</v>
      </c>
      <c r="L285" s="29" t="s">
        <v>211</v>
      </c>
      <c r="M285" s="29" t="s">
        <v>126</v>
      </c>
      <c r="N285" s="29" t="s">
        <v>23</v>
      </c>
      <c r="O285" s="29" t="s">
        <v>212</v>
      </c>
      <c r="P285" s="32"/>
      <c r="Q285" s="14" t="s">
        <v>1222</v>
      </c>
      <c r="R285" s="37"/>
      <c r="S285" s="38"/>
      <c r="T285" s="30"/>
      <c r="U285" s="39"/>
      <c r="V285" s="40"/>
      <c r="W285" s="39"/>
      <c r="X285" s="41"/>
      <c r="Y285" s="9"/>
      <c r="Z285" s="9"/>
      <c r="AA285" s="9"/>
      <c r="AB285" s="7">
        <v>8041</v>
      </c>
      <c r="AC285" s="33"/>
      <c r="AD285" s="33"/>
      <c r="AE285" s="33"/>
      <c r="AF285" s="66">
        <v>46310</v>
      </c>
    </row>
    <row r="286" spans="2:32" x14ac:dyDescent="0.3">
      <c r="B286" s="13">
        <v>46127</v>
      </c>
      <c r="C286" s="70">
        <v>1690</v>
      </c>
      <c r="D286" s="61">
        <v>8801717825602</v>
      </c>
      <c r="E286" s="61">
        <v>8801717825602</v>
      </c>
      <c r="F286" s="65" t="s">
        <v>1012</v>
      </c>
      <c r="G286" s="75">
        <v>46145</v>
      </c>
      <c r="H286" s="15" t="s">
        <v>251</v>
      </c>
      <c r="I286" s="15" t="s">
        <v>1224</v>
      </c>
      <c r="J286" s="29">
        <v>40909</v>
      </c>
      <c r="K286" s="29">
        <v>46023</v>
      </c>
      <c r="L286" s="29" t="s">
        <v>224</v>
      </c>
      <c r="M286" s="29" t="s">
        <v>313</v>
      </c>
      <c r="N286" s="29" t="s">
        <v>17</v>
      </c>
      <c r="O286" s="29" t="s">
        <v>217</v>
      </c>
      <c r="P286" s="32">
        <v>45658</v>
      </c>
      <c r="Q286" s="14" t="s">
        <v>1222</v>
      </c>
      <c r="R286" s="37"/>
      <c r="S286" s="38"/>
      <c r="T286" s="30"/>
      <c r="U286" s="39"/>
      <c r="V286" s="40"/>
      <c r="W286" s="39"/>
      <c r="X286" s="41"/>
      <c r="Y286" s="9"/>
      <c r="Z286" s="9"/>
      <c r="AA286" s="9"/>
      <c r="AB286" s="7">
        <v>1102415</v>
      </c>
      <c r="AC286" s="33"/>
      <c r="AD286" s="33"/>
      <c r="AE286" s="33"/>
      <c r="AF286" s="66">
        <v>46310</v>
      </c>
    </row>
    <row r="287" spans="2:32" x14ac:dyDescent="0.3">
      <c r="B287" s="13">
        <v>46127</v>
      </c>
      <c r="C287" s="70">
        <v>10021114</v>
      </c>
      <c r="D287" s="30" t="s">
        <v>1089</v>
      </c>
      <c r="E287" s="30" t="s">
        <v>1089</v>
      </c>
      <c r="F287" s="65" t="s">
        <v>948</v>
      </c>
      <c r="G287" s="75">
        <v>46146</v>
      </c>
      <c r="H287" s="15" t="s">
        <v>251</v>
      </c>
      <c r="I287" s="15"/>
      <c r="J287" s="29">
        <v>45439</v>
      </c>
      <c r="K287" s="29">
        <v>46002</v>
      </c>
      <c r="L287" s="29" t="s">
        <v>224</v>
      </c>
      <c r="M287" s="29" t="s">
        <v>121</v>
      </c>
      <c r="N287" s="29" t="s">
        <v>28</v>
      </c>
      <c r="O287" s="29" t="s">
        <v>217</v>
      </c>
      <c r="P287" s="32"/>
      <c r="Q287" s="14" t="s">
        <v>1326</v>
      </c>
      <c r="R287" s="37"/>
      <c r="S287" s="38"/>
      <c r="T287" s="30"/>
      <c r="U287" s="39"/>
      <c r="V287" s="40"/>
      <c r="W287" s="39"/>
      <c r="X287" s="41"/>
      <c r="Y287" s="9"/>
      <c r="Z287" s="9"/>
      <c r="AA287" s="9"/>
      <c r="AB287" s="7">
        <v>51144</v>
      </c>
      <c r="AC287" s="33"/>
      <c r="AD287" s="33"/>
      <c r="AE287" s="33"/>
      <c r="AF287" s="66">
        <v>46310</v>
      </c>
    </row>
    <row r="288" spans="2:32" x14ac:dyDescent="0.3">
      <c r="B288" s="13">
        <v>46127</v>
      </c>
      <c r="C288" s="70">
        <v>4938</v>
      </c>
      <c r="D288" s="30" t="s">
        <v>1200</v>
      </c>
      <c r="E288" s="30" t="s">
        <v>1201</v>
      </c>
      <c r="F288" s="65" t="s">
        <v>1000</v>
      </c>
      <c r="G288" s="75">
        <v>46146</v>
      </c>
      <c r="H288" s="15" t="s">
        <v>251</v>
      </c>
      <c r="I288" s="15"/>
      <c r="J288" s="29">
        <v>41166</v>
      </c>
      <c r="K288" s="29">
        <v>45870</v>
      </c>
      <c r="L288" s="29" t="s">
        <v>216</v>
      </c>
      <c r="M288" s="29" t="s">
        <v>126</v>
      </c>
      <c r="N288" s="29" t="s">
        <v>23</v>
      </c>
      <c r="O288" s="29" t="s">
        <v>217</v>
      </c>
      <c r="P288" s="32">
        <v>45292</v>
      </c>
      <c r="Q288" s="14" t="s">
        <v>1222</v>
      </c>
      <c r="R288" s="37"/>
      <c r="S288" s="38"/>
      <c r="T288" s="30"/>
      <c r="U288" s="39"/>
      <c r="V288" s="40"/>
      <c r="W288" s="39"/>
      <c r="X288" s="41"/>
      <c r="Y288" s="9"/>
      <c r="Z288" s="9"/>
      <c r="AA288" s="9"/>
      <c r="AB288" s="7">
        <v>1080043</v>
      </c>
      <c r="AC288" s="33"/>
      <c r="AD288" s="33"/>
      <c r="AE288" s="33"/>
      <c r="AF288" s="66">
        <v>46310</v>
      </c>
    </row>
    <row r="289" spans="2:32" x14ac:dyDescent="0.3">
      <c r="B289" s="13">
        <v>46127</v>
      </c>
      <c r="C289" s="70">
        <v>12486</v>
      </c>
      <c r="D289" s="30" t="s">
        <v>1046</v>
      </c>
      <c r="E289" s="30" t="s">
        <v>1047</v>
      </c>
      <c r="F289" s="65" t="s">
        <v>88</v>
      </c>
      <c r="G289" s="75">
        <v>46146</v>
      </c>
      <c r="H289" s="15" t="s">
        <v>251</v>
      </c>
      <c r="I289" s="15"/>
      <c r="J289" s="29">
        <v>43538</v>
      </c>
      <c r="K289" s="29">
        <v>45839</v>
      </c>
      <c r="L289" s="29" t="s">
        <v>219</v>
      </c>
      <c r="M289" s="29" t="s">
        <v>114</v>
      </c>
      <c r="N289" s="29" t="s">
        <v>23</v>
      </c>
      <c r="O289" s="29" t="s">
        <v>214</v>
      </c>
      <c r="P289" s="32"/>
      <c r="Q289" s="14" t="s">
        <v>1222</v>
      </c>
      <c r="R289" s="37"/>
      <c r="S289" s="38"/>
      <c r="T289" s="30"/>
      <c r="U289" s="39"/>
      <c r="V289" s="40"/>
      <c r="W289" s="39"/>
      <c r="X289" s="41"/>
      <c r="Y289" s="9"/>
      <c r="Z289" s="9"/>
      <c r="AA289" s="9"/>
      <c r="AB289" s="7">
        <v>387196</v>
      </c>
      <c r="AC289" s="33"/>
      <c r="AD289" s="33"/>
      <c r="AE289" s="33"/>
      <c r="AF289" s="66">
        <v>46310</v>
      </c>
    </row>
    <row r="290" spans="2:32" x14ac:dyDescent="0.3">
      <c r="B290" s="13">
        <v>46127</v>
      </c>
      <c r="C290" s="70">
        <v>10022149</v>
      </c>
      <c r="D290" s="30" t="s">
        <v>1097</v>
      </c>
      <c r="E290" s="30" t="s">
        <v>1097</v>
      </c>
      <c r="F290" s="65" t="s">
        <v>951</v>
      </c>
      <c r="G290" s="75">
        <v>46146</v>
      </c>
      <c r="H290" s="15" t="s">
        <v>251</v>
      </c>
      <c r="I290" s="15" t="s">
        <v>1224</v>
      </c>
      <c r="J290" s="29">
        <v>45586</v>
      </c>
      <c r="K290" s="29">
        <v>45821</v>
      </c>
      <c r="L290" s="29" t="s">
        <v>219</v>
      </c>
      <c r="M290" s="29" t="s">
        <v>143</v>
      </c>
      <c r="N290" s="29" t="s">
        <v>23</v>
      </c>
      <c r="O290" s="29" t="s">
        <v>214</v>
      </c>
      <c r="P290" s="32"/>
      <c r="Q290" s="14" t="s">
        <v>1222</v>
      </c>
      <c r="R290" s="37"/>
      <c r="S290" s="38"/>
      <c r="T290" s="30"/>
      <c r="U290" s="39"/>
      <c r="V290" s="40"/>
      <c r="W290" s="39"/>
      <c r="X290" s="41"/>
      <c r="Y290" s="9"/>
      <c r="Z290" s="9"/>
      <c r="AA290" s="9"/>
      <c r="AB290" s="7">
        <v>11280</v>
      </c>
      <c r="AC290" s="33"/>
      <c r="AD290" s="33"/>
      <c r="AE290" s="33"/>
      <c r="AF290" s="66">
        <v>46310</v>
      </c>
    </row>
    <row r="291" spans="2:32" x14ac:dyDescent="0.3">
      <c r="B291" s="13">
        <v>46127</v>
      </c>
      <c r="C291" s="70">
        <v>10016576</v>
      </c>
      <c r="D291" s="61">
        <v>8801894929286</v>
      </c>
      <c r="E291" s="61">
        <v>1911761105</v>
      </c>
      <c r="F291" s="65" t="s">
        <v>976</v>
      </c>
      <c r="G291" s="75">
        <v>46146</v>
      </c>
      <c r="H291" s="15" t="s">
        <v>251</v>
      </c>
      <c r="I291" s="15" t="s">
        <v>1224</v>
      </c>
      <c r="J291" s="29">
        <v>44625</v>
      </c>
      <c r="K291" s="29">
        <v>45839</v>
      </c>
      <c r="L291" s="29" t="s">
        <v>219</v>
      </c>
      <c r="M291" s="29" t="s">
        <v>102</v>
      </c>
      <c r="N291" s="29" t="s">
        <v>24</v>
      </c>
      <c r="O291" s="29" t="s">
        <v>214</v>
      </c>
      <c r="P291" s="32"/>
      <c r="Q291" s="14" t="s">
        <v>1222</v>
      </c>
      <c r="R291" s="37"/>
      <c r="S291" s="38"/>
      <c r="T291" s="30"/>
      <c r="U291" s="39"/>
      <c r="V291" s="40"/>
      <c r="W291" s="39"/>
      <c r="X291" s="41"/>
      <c r="Y291" s="9"/>
      <c r="Z291" s="9"/>
      <c r="AA291" s="9"/>
      <c r="AB291" s="7">
        <v>132808</v>
      </c>
      <c r="AC291" s="33"/>
      <c r="AD291" s="33"/>
      <c r="AE291" s="33"/>
      <c r="AF291" s="66">
        <v>46310</v>
      </c>
    </row>
    <row r="292" spans="2:32" x14ac:dyDescent="0.3">
      <c r="B292" s="13">
        <v>46127</v>
      </c>
      <c r="C292" s="70">
        <v>10022094</v>
      </c>
      <c r="D292" s="61">
        <v>8801568005852</v>
      </c>
      <c r="E292" s="61">
        <v>8801568005852</v>
      </c>
      <c r="F292" s="65" t="s">
        <v>946</v>
      </c>
      <c r="G292" s="75">
        <v>46146</v>
      </c>
      <c r="H292" s="15" t="s">
        <v>251</v>
      </c>
      <c r="I292" s="15" t="s">
        <v>1224</v>
      </c>
      <c r="J292" s="29">
        <v>45574</v>
      </c>
      <c r="K292" s="29">
        <v>45962</v>
      </c>
      <c r="L292" s="29" t="s">
        <v>211</v>
      </c>
      <c r="M292" s="29" t="s">
        <v>148</v>
      </c>
      <c r="N292" s="29" t="s">
        <v>23</v>
      </c>
      <c r="O292" s="29" t="s">
        <v>212</v>
      </c>
      <c r="P292" s="32"/>
      <c r="Q292" s="14" t="s">
        <v>1222</v>
      </c>
      <c r="R292" s="37"/>
      <c r="S292" s="38"/>
      <c r="T292" s="30"/>
      <c r="U292" s="39"/>
      <c r="V292" s="40"/>
      <c r="W292" s="39"/>
      <c r="X292" s="41"/>
      <c r="Y292" s="9"/>
      <c r="Z292" s="9"/>
      <c r="AA292" s="9"/>
      <c r="AB292" s="7">
        <v>27894</v>
      </c>
      <c r="AC292" s="33"/>
      <c r="AD292" s="33"/>
      <c r="AE292" s="33"/>
      <c r="AF292" s="66">
        <v>46310</v>
      </c>
    </row>
    <row r="293" spans="2:32" x14ac:dyDescent="0.3">
      <c r="B293" s="13">
        <v>46127</v>
      </c>
      <c r="C293" s="70">
        <v>10021995</v>
      </c>
      <c r="D293" s="30" t="s">
        <v>1104</v>
      </c>
      <c r="E293" s="30" t="s">
        <v>1104</v>
      </c>
      <c r="F293" s="65" t="s">
        <v>669</v>
      </c>
      <c r="G293" s="75">
        <v>46146</v>
      </c>
      <c r="H293" s="15" t="s">
        <v>251</v>
      </c>
      <c r="I293" s="15" t="s">
        <v>1224</v>
      </c>
      <c r="J293" s="29">
        <v>45574</v>
      </c>
      <c r="K293" s="29">
        <v>45790</v>
      </c>
      <c r="L293" s="29" t="s">
        <v>211</v>
      </c>
      <c r="M293" s="29" t="s">
        <v>132</v>
      </c>
      <c r="N293" s="29" t="s">
        <v>23</v>
      </c>
      <c r="O293" s="29" t="s">
        <v>212</v>
      </c>
      <c r="P293" s="32"/>
      <c r="Q293" s="14" t="s">
        <v>1222</v>
      </c>
      <c r="R293" s="37"/>
      <c r="S293" s="38"/>
      <c r="T293" s="30"/>
      <c r="U293" s="39"/>
      <c r="V293" s="40"/>
      <c r="W293" s="39"/>
      <c r="X293" s="41"/>
      <c r="Y293" s="9"/>
      <c r="Z293" s="9"/>
      <c r="AA293" s="9"/>
      <c r="AB293" s="7">
        <v>9694</v>
      </c>
      <c r="AC293" s="33"/>
      <c r="AD293" s="33"/>
      <c r="AE293" s="33"/>
      <c r="AF293" s="66">
        <v>46310</v>
      </c>
    </row>
    <row r="294" spans="2:32" x14ac:dyDescent="0.3">
      <c r="B294" s="13">
        <v>46127</v>
      </c>
      <c r="C294" s="70">
        <v>10017622</v>
      </c>
      <c r="D294" s="30" t="s">
        <v>1195</v>
      </c>
      <c r="E294" s="30" t="s">
        <v>1196</v>
      </c>
      <c r="F294" s="65" t="s">
        <v>1035</v>
      </c>
      <c r="G294" s="75">
        <v>46146</v>
      </c>
      <c r="H294" s="15" t="s">
        <v>251</v>
      </c>
      <c r="I294" s="15" t="s">
        <v>1224</v>
      </c>
      <c r="J294" s="29">
        <v>44805</v>
      </c>
      <c r="K294" s="29">
        <v>45834</v>
      </c>
      <c r="L294" s="29" t="s">
        <v>226</v>
      </c>
      <c r="M294" s="29" t="s">
        <v>94</v>
      </c>
      <c r="N294" s="29" t="s">
        <v>17</v>
      </c>
      <c r="O294" s="29" t="s">
        <v>221</v>
      </c>
      <c r="P294" s="32"/>
      <c r="Q294" s="14" t="s">
        <v>1222</v>
      </c>
      <c r="R294" s="37"/>
      <c r="S294" s="38"/>
      <c r="T294" s="30"/>
      <c r="U294" s="39"/>
      <c r="V294" s="40"/>
      <c r="W294" s="39"/>
      <c r="X294" s="41"/>
      <c r="Y294" s="9"/>
      <c r="Z294" s="9"/>
      <c r="AA294" s="9"/>
      <c r="AB294" s="7">
        <v>20605</v>
      </c>
      <c r="AC294" s="33"/>
      <c r="AD294" s="33"/>
      <c r="AE294" s="33"/>
      <c r="AF294" s="66">
        <v>46310</v>
      </c>
    </row>
    <row r="295" spans="2:32" x14ac:dyDescent="0.3">
      <c r="B295" s="13">
        <v>46040</v>
      </c>
      <c r="C295" s="61">
        <v>10020491</v>
      </c>
      <c r="D295" s="30" t="s">
        <v>578</v>
      </c>
      <c r="E295" s="30" t="s">
        <v>578</v>
      </c>
      <c r="F295" s="15" t="s">
        <v>315</v>
      </c>
      <c r="G295" s="75">
        <v>46147</v>
      </c>
      <c r="H295" s="15" t="s">
        <v>251</v>
      </c>
      <c r="I295" s="15"/>
      <c r="J295" s="29">
        <v>45334</v>
      </c>
      <c r="K295" s="29">
        <v>45597</v>
      </c>
      <c r="L295" s="29" t="s">
        <v>211</v>
      </c>
      <c r="M295" s="29" t="s">
        <v>172</v>
      </c>
      <c r="N295" s="29" t="s">
        <v>24</v>
      </c>
      <c r="O295" s="29" t="s">
        <v>212</v>
      </c>
      <c r="P295" s="32"/>
      <c r="Q295" s="14"/>
      <c r="R295" s="37"/>
      <c r="S295" s="38"/>
      <c r="T295" s="30"/>
      <c r="U295" s="39"/>
      <c r="V295" s="40"/>
      <c r="W295" s="39"/>
      <c r="X295" s="41"/>
      <c r="Y295" s="9"/>
      <c r="Z295" s="9"/>
      <c r="AA295" s="9"/>
      <c r="AB295" s="7">
        <v>11184</v>
      </c>
      <c r="AC295" s="33"/>
      <c r="AD295" s="33"/>
      <c r="AE295" s="33"/>
      <c r="AF295" s="50">
        <v>46221</v>
      </c>
    </row>
    <row r="296" spans="2:32" x14ac:dyDescent="0.3">
      <c r="B296" s="13">
        <v>46127</v>
      </c>
      <c r="C296" s="70">
        <v>15409</v>
      </c>
      <c r="D296" s="61">
        <v>8801847178357</v>
      </c>
      <c r="E296" s="61">
        <v>1847178357</v>
      </c>
      <c r="F296" s="65" t="s">
        <v>924</v>
      </c>
      <c r="G296" s="75">
        <v>46147</v>
      </c>
      <c r="H296" s="15" t="s">
        <v>251</v>
      </c>
      <c r="I296" s="15" t="s">
        <v>1224</v>
      </c>
      <c r="J296" s="29">
        <v>44348</v>
      </c>
      <c r="K296" s="29">
        <v>45962</v>
      </c>
      <c r="L296" s="29" t="s">
        <v>219</v>
      </c>
      <c r="M296" s="29" t="s">
        <v>148</v>
      </c>
      <c r="N296" s="29" t="s">
        <v>23</v>
      </c>
      <c r="O296" s="29" t="s">
        <v>214</v>
      </c>
      <c r="P296" s="32">
        <v>45292</v>
      </c>
      <c r="Q296" s="14" t="s">
        <v>1222</v>
      </c>
      <c r="R296" s="37"/>
      <c r="S296" s="38"/>
      <c r="T296" s="30"/>
      <c r="U296" s="39"/>
      <c r="V296" s="40"/>
      <c r="W296" s="39"/>
      <c r="X296" s="41"/>
      <c r="Y296" s="9"/>
      <c r="Z296" s="9"/>
      <c r="AA296" s="9"/>
      <c r="AB296" s="7">
        <v>133423</v>
      </c>
      <c r="AC296" s="33"/>
      <c r="AD296" s="33"/>
      <c r="AE296" s="33"/>
      <c r="AF296" s="66">
        <v>46310</v>
      </c>
    </row>
    <row r="297" spans="2:32" x14ac:dyDescent="0.3">
      <c r="B297" s="13">
        <v>46127</v>
      </c>
      <c r="C297" s="70">
        <v>10021950</v>
      </c>
      <c r="D297" s="30" t="s">
        <v>1077</v>
      </c>
      <c r="E297" s="30" t="s">
        <v>1077</v>
      </c>
      <c r="F297" s="65" t="s">
        <v>481</v>
      </c>
      <c r="G297" s="75">
        <v>46147</v>
      </c>
      <c r="H297" s="15" t="s">
        <v>251</v>
      </c>
      <c r="I297" s="15" t="s">
        <v>1224</v>
      </c>
      <c r="J297" s="29">
        <v>45566</v>
      </c>
      <c r="K297" s="29">
        <v>45920</v>
      </c>
      <c r="L297" s="29" t="s">
        <v>219</v>
      </c>
      <c r="M297" s="29" t="s">
        <v>126</v>
      </c>
      <c r="N297" s="29" t="s">
        <v>23</v>
      </c>
      <c r="O297" s="29" t="s">
        <v>214</v>
      </c>
      <c r="P297" s="32"/>
      <c r="Q297" s="14" t="s">
        <v>1222</v>
      </c>
      <c r="R297" s="37"/>
      <c r="S297" s="38"/>
      <c r="T297" s="30"/>
      <c r="U297" s="39"/>
      <c r="V297" s="40"/>
      <c r="W297" s="39"/>
      <c r="X297" s="41"/>
      <c r="Y297" s="9"/>
      <c r="Z297" s="9"/>
      <c r="AA297" s="9"/>
      <c r="AB297" s="7">
        <v>31351</v>
      </c>
      <c r="AC297" s="33"/>
      <c r="AD297" s="33"/>
      <c r="AE297" s="33"/>
      <c r="AF297" s="66">
        <v>46310</v>
      </c>
    </row>
    <row r="298" spans="2:32" x14ac:dyDescent="0.3">
      <c r="B298" s="13">
        <v>46127</v>
      </c>
      <c r="C298" s="70">
        <v>10022126</v>
      </c>
      <c r="D298" s="30" t="s">
        <v>1099</v>
      </c>
      <c r="E298" s="30" t="s">
        <v>1099</v>
      </c>
      <c r="F298" s="65" t="s">
        <v>953</v>
      </c>
      <c r="G298" s="75">
        <v>46147</v>
      </c>
      <c r="H298" s="15" t="s">
        <v>251</v>
      </c>
      <c r="I298" s="15" t="s">
        <v>1224</v>
      </c>
      <c r="J298" s="29">
        <v>45579</v>
      </c>
      <c r="K298" s="29">
        <v>45842</v>
      </c>
      <c r="L298" s="29" t="s">
        <v>219</v>
      </c>
      <c r="M298" s="29" t="s">
        <v>126</v>
      </c>
      <c r="N298" s="29" t="s">
        <v>23</v>
      </c>
      <c r="O298" s="29" t="s">
        <v>214</v>
      </c>
      <c r="P298" s="32"/>
      <c r="Q298" s="14" t="s">
        <v>1222</v>
      </c>
      <c r="R298" s="37"/>
      <c r="S298" s="38"/>
      <c r="T298" s="30"/>
      <c r="U298" s="39"/>
      <c r="V298" s="40"/>
      <c r="W298" s="39"/>
      <c r="X298" s="41"/>
      <c r="Y298" s="9"/>
      <c r="Z298" s="9"/>
      <c r="AA298" s="9"/>
      <c r="AB298" s="7">
        <v>10982</v>
      </c>
      <c r="AC298" s="33"/>
      <c r="AD298" s="33"/>
      <c r="AE298" s="33"/>
      <c r="AF298" s="66">
        <v>46310</v>
      </c>
    </row>
    <row r="299" spans="2:32" x14ac:dyDescent="0.3">
      <c r="B299" s="13">
        <v>46127</v>
      </c>
      <c r="C299" s="70">
        <v>11051</v>
      </c>
      <c r="D299" s="30" t="s">
        <v>1202</v>
      </c>
      <c r="E299" s="30" t="s">
        <v>1203</v>
      </c>
      <c r="F299" s="65" t="s">
        <v>1001</v>
      </c>
      <c r="G299" s="75">
        <v>46147</v>
      </c>
      <c r="H299" s="15" t="s">
        <v>251</v>
      </c>
      <c r="I299" s="15"/>
      <c r="J299" s="29">
        <v>43221</v>
      </c>
      <c r="K299" s="29">
        <v>45962</v>
      </c>
      <c r="L299" s="29" t="s">
        <v>219</v>
      </c>
      <c r="M299" s="29" t="s">
        <v>173</v>
      </c>
      <c r="N299" s="29" t="s">
        <v>16</v>
      </c>
      <c r="O299" s="29" t="s">
        <v>214</v>
      </c>
      <c r="P299" s="32"/>
      <c r="Q299" s="14" t="s">
        <v>1222</v>
      </c>
      <c r="R299" s="37"/>
      <c r="S299" s="38"/>
      <c r="T299" s="30"/>
      <c r="U299" s="39"/>
      <c r="V299" s="40"/>
      <c r="W299" s="39"/>
      <c r="X299" s="41"/>
      <c r="Y299" s="9"/>
      <c r="Z299" s="9"/>
      <c r="AA299" s="9"/>
      <c r="AB299" s="7">
        <v>324598</v>
      </c>
      <c r="AC299" s="33"/>
      <c r="AD299" s="33"/>
      <c r="AE299" s="33"/>
      <c r="AF299" s="66">
        <v>46310</v>
      </c>
    </row>
    <row r="300" spans="2:32" x14ac:dyDescent="0.3">
      <c r="B300" s="13">
        <v>46127</v>
      </c>
      <c r="C300" s="70">
        <v>10018542</v>
      </c>
      <c r="D300" s="30" t="s">
        <v>1168</v>
      </c>
      <c r="E300" s="30" t="s">
        <v>1168</v>
      </c>
      <c r="F300" s="65" t="s">
        <v>55</v>
      </c>
      <c r="G300" s="75">
        <v>46147</v>
      </c>
      <c r="H300" s="15" t="s">
        <v>251</v>
      </c>
      <c r="I300" s="15"/>
      <c r="J300" s="29">
        <v>45011</v>
      </c>
      <c r="K300" s="29">
        <v>45906</v>
      </c>
      <c r="L300" s="29" t="s">
        <v>211</v>
      </c>
      <c r="M300" s="29" t="s">
        <v>188</v>
      </c>
      <c r="N300" s="29" t="s">
        <v>23</v>
      </c>
      <c r="O300" s="29" t="s">
        <v>212</v>
      </c>
      <c r="P300" s="32"/>
      <c r="Q300" s="14" t="s">
        <v>1222</v>
      </c>
      <c r="R300" s="37"/>
      <c r="S300" s="38"/>
      <c r="T300" s="30"/>
      <c r="U300" s="39"/>
      <c r="V300" s="40"/>
      <c r="W300" s="39"/>
      <c r="X300" s="41"/>
      <c r="Y300" s="9"/>
      <c r="Z300" s="9"/>
      <c r="AA300" s="9"/>
      <c r="AB300" s="7">
        <v>49215</v>
      </c>
      <c r="AC300" s="33"/>
      <c r="AD300" s="33"/>
      <c r="AE300" s="33"/>
      <c r="AF300" s="66">
        <v>46310</v>
      </c>
    </row>
    <row r="301" spans="2:32" x14ac:dyDescent="0.3">
      <c r="B301" s="13">
        <v>46127</v>
      </c>
      <c r="C301" s="70">
        <v>10018874</v>
      </c>
      <c r="D301" s="30" t="s">
        <v>1181</v>
      </c>
      <c r="E301" s="30" t="s">
        <v>1181</v>
      </c>
      <c r="F301" s="65" t="s">
        <v>992</v>
      </c>
      <c r="G301" s="75">
        <v>46147</v>
      </c>
      <c r="H301" s="15" t="s">
        <v>251</v>
      </c>
      <c r="I301" s="15"/>
      <c r="J301" s="29">
        <v>45068</v>
      </c>
      <c r="K301" s="29">
        <v>45931</v>
      </c>
      <c r="L301" s="29" t="s">
        <v>211</v>
      </c>
      <c r="M301" s="29" t="s">
        <v>148</v>
      </c>
      <c r="N301" s="29" t="s">
        <v>23</v>
      </c>
      <c r="O301" s="29" t="s">
        <v>212</v>
      </c>
      <c r="P301" s="32"/>
      <c r="Q301" s="14" t="s">
        <v>1222</v>
      </c>
      <c r="R301" s="37"/>
      <c r="S301" s="38"/>
      <c r="T301" s="30"/>
      <c r="U301" s="39"/>
      <c r="V301" s="40"/>
      <c r="W301" s="39"/>
      <c r="X301" s="41"/>
      <c r="Y301" s="9"/>
      <c r="Z301" s="9"/>
      <c r="AA301" s="9"/>
      <c r="AB301" s="7">
        <v>62524</v>
      </c>
      <c r="AC301" s="33"/>
      <c r="AD301" s="33"/>
      <c r="AE301" s="33"/>
      <c r="AF301" s="66">
        <v>46310</v>
      </c>
    </row>
    <row r="302" spans="2:32" x14ac:dyDescent="0.3">
      <c r="B302" s="13">
        <v>46127</v>
      </c>
      <c r="C302" s="70">
        <v>12586</v>
      </c>
      <c r="D302" s="61">
        <v>8801730966599</v>
      </c>
      <c r="E302" s="61">
        <v>8801730966599</v>
      </c>
      <c r="F302" s="65" t="s">
        <v>982</v>
      </c>
      <c r="G302" s="75">
        <v>46147</v>
      </c>
      <c r="H302" s="15" t="s">
        <v>251</v>
      </c>
      <c r="I302" s="15" t="s">
        <v>1224</v>
      </c>
      <c r="J302" s="29">
        <v>43556</v>
      </c>
      <c r="K302" s="29">
        <v>46023</v>
      </c>
      <c r="L302" s="29" t="s">
        <v>302</v>
      </c>
      <c r="M302" s="29" t="s">
        <v>149</v>
      </c>
      <c r="N302" s="29" t="s">
        <v>40</v>
      </c>
      <c r="O302" s="29" t="s">
        <v>229</v>
      </c>
      <c r="P302" s="32">
        <v>44927</v>
      </c>
      <c r="Q302" s="14" t="s">
        <v>1222</v>
      </c>
      <c r="R302" s="37"/>
      <c r="S302" s="38"/>
      <c r="T302" s="30"/>
      <c r="U302" s="39"/>
      <c r="V302" s="40"/>
      <c r="W302" s="39"/>
      <c r="X302" s="41"/>
      <c r="Y302" s="9"/>
      <c r="Z302" s="9"/>
      <c r="AA302" s="9"/>
      <c r="AB302" s="7">
        <v>279163</v>
      </c>
      <c r="AC302" s="33"/>
      <c r="AD302" s="33"/>
      <c r="AE302" s="33"/>
      <c r="AF302" s="66">
        <v>46310</v>
      </c>
    </row>
    <row r="303" spans="2:32" x14ac:dyDescent="0.3">
      <c r="B303" s="13">
        <v>46127</v>
      </c>
      <c r="C303" s="70">
        <v>30016420</v>
      </c>
      <c r="D303" s="61">
        <v>1717278514</v>
      </c>
      <c r="E303" s="61">
        <v>1717278514</v>
      </c>
      <c r="F303" s="65" t="s">
        <v>990</v>
      </c>
      <c r="G303" s="75">
        <v>46147</v>
      </c>
      <c r="H303" s="15" t="s">
        <v>251</v>
      </c>
      <c r="I303" s="15" t="s">
        <v>1224</v>
      </c>
      <c r="J303" s="29">
        <v>44630</v>
      </c>
      <c r="K303" s="29">
        <v>45932</v>
      </c>
      <c r="L303" s="29" t="s">
        <v>235</v>
      </c>
      <c r="M303" s="29" t="s">
        <v>128</v>
      </c>
      <c r="N303" s="29" t="s">
        <v>17</v>
      </c>
      <c r="O303" s="29" t="s">
        <v>221</v>
      </c>
      <c r="P303" s="32"/>
      <c r="Q303" s="14" t="s">
        <v>1222</v>
      </c>
      <c r="R303" s="37"/>
      <c r="S303" s="38"/>
      <c r="T303" s="30"/>
      <c r="U303" s="39"/>
      <c r="V303" s="40"/>
      <c r="W303" s="39"/>
      <c r="X303" s="41"/>
      <c r="Y303" s="9"/>
      <c r="Z303" s="9"/>
      <c r="AA303" s="9"/>
      <c r="AB303" s="7">
        <v>9254</v>
      </c>
      <c r="AC303" s="33"/>
      <c r="AD303" s="33"/>
      <c r="AE303" s="33"/>
      <c r="AF303" s="66">
        <v>46310</v>
      </c>
    </row>
    <row r="304" spans="2:32" x14ac:dyDescent="0.3">
      <c r="B304" s="13">
        <v>46040</v>
      </c>
      <c r="C304" s="61">
        <v>10019682</v>
      </c>
      <c r="D304" s="59" t="s">
        <v>565</v>
      </c>
      <c r="E304" s="30" t="s">
        <v>565</v>
      </c>
      <c r="F304" s="15" t="s">
        <v>474</v>
      </c>
      <c r="G304" s="75">
        <v>46148</v>
      </c>
      <c r="H304" s="15" t="s">
        <v>251</v>
      </c>
      <c r="I304" s="15" t="s">
        <v>1332</v>
      </c>
      <c r="J304" s="29">
        <v>45200</v>
      </c>
      <c r="K304" s="29">
        <v>45474</v>
      </c>
      <c r="L304" s="29" t="s">
        <v>219</v>
      </c>
      <c r="M304" s="29" t="s">
        <v>142</v>
      </c>
      <c r="N304" s="29" t="s">
        <v>23</v>
      </c>
      <c r="O304" s="29" t="s">
        <v>214</v>
      </c>
      <c r="P304" s="32"/>
      <c r="Q304" s="14"/>
      <c r="R304" s="37"/>
      <c r="S304" s="38"/>
      <c r="T304" s="30"/>
      <c r="U304" s="39"/>
      <c r="V304" s="40"/>
      <c r="W304" s="39"/>
      <c r="X304" s="41"/>
      <c r="Y304" s="9"/>
      <c r="Z304" s="9"/>
      <c r="AA304" s="9"/>
      <c r="AB304" s="7">
        <v>12061</v>
      </c>
      <c r="AC304" s="33"/>
      <c r="AD304" s="33"/>
      <c r="AE304" s="33"/>
      <c r="AF304" s="50">
        <v>46221</v>
      </c>
    </row>
    <row r="305" spans="2:32" x14ac:dyDescent="0.3">
      <c r="B305" s="13">
        <v>46127</v>
      </c>
      <c r="C305" s="70">
        <v>7975</v>
      </c>
      <c r="D305" s="30">
        <v>8801894930047</v>
      </c>
      <c r="E305" s="30" t="s">
        <v>1124</v>
      </c>
      <c r="F305" s="65" t="s">
        <v>967</v>
      </c>
      <c r="G305" s="75">
        <v>46148</v>
      </c>
      <c r="H305" s="15" t="s">
        <v>251</v>
      </c>
      <c r="I305" s="15"/>
      <c r="J305" s="29">
        <v>42397</v>
      </c>
      <c r="K305" s="29">
        <v>45931</v>
      </c>
      <c r="L305" s="29" t="s">
        <v>216</v>
      </c>
      <c r="M305" s="29" t="s">
        <v>126</v>
      </c>
      <c r="N305" s="29" t="s">
        <v>23</v>
      </c>
      <c r="O305" s="29" t="s">
        <v>217</v>
      </c>
      <c r="P305" s="32">
        <v>45139</v>
      </c>
      <c r="Q305" s="14" t="s">
        <v>1222</v>
      </c>
      <c r="R305" s="37"/>
      <c r="S305" s="38"/>
      <c r="T305" s="30"/>
      <c r="U305" s="39"/>
      <c r="V305" s="40"/>
      <c r="W305" s="39"/>
      <c r="X305" s="41"/>
      <c r="Y305" s="9"/>
      <c r="Z305" s="9"/>
      <c r="AA305" s="9"/>
      <c r="AB305" s="7">
        <v>713830</v>
      </c>
      <c r="AC305" s="33"/>
      <c r="AD305" s="33"/>
      <c r="AE305" s="33"/>
      <c r="AF305" s="66">
        <v>46310</v>
      </c>
    </row>
    <row r="306" spans="2:32" x14ac:dyDescent="0.3">
      <c r="B306" s="13">
        <v>46127</v>
      </c>
      <c r="C306" s="70">
        <v>14455</v>
      </c>
      <c r="D306" s="30" t="s">
        <v>1188</v>
      </c>
      <c r="E306" s="30" t="s">
        <v>1189</v>
      </c>
      <c r="F306" s="65" t="s">
        <v>995</v>
      </c>
      <c r="G306" s="75">
        <v>46148</v>
      </c>
      <c r="H306" s="15" t="s">
        <v>251</v>
      </c>
      <c r="I306" s="15"/>
      <c r="J306" s="29">
        <v>44105</v>
      </c>
      <c r="K306" s="29">
        <v>45658</v>
      </c>
      <c r="L306" s="29" t="s">
        <v>213</v>
      </c>
      <c r="M306" s="29" t="s">
        <v>97</v>
      </c>
      <c r="N306" s="29" t="s">
        <v>23</v>
      </c>
      <c r="O306" s="29" t="s">
        <v>214</v>
      </c>
      <c r="P306" s="32">
        <v>45292</v>
      </c>
      <c r="Q306" s="14" t="s">
        <v>1222</v>
      </c>
      <c r="R306" s="37"/>
      <c r="S306" s="38"/>
      <c r="T306" s="30"/>
      <c r="U306" s="39"/>
      <c r="V306" s="40"/>
      <c r="W306" s="39"/>
      <c r="X306" s="41"/>
      <c r="Y306" s="9"/>
      <c r="Z306" s="9"/>
      <c r="AA306" s="9"/>
      <c r="AB306" s="7">
        <v>92594</v>
      </c>
      <c r="AC306" s="33"/>
      <c r="AD306" s="33"/>
      <c r="AE306" s="33"/>
      <c r="AF306" s="66">
        <v>46310</v>
      </c>
    </row>
    <row r="307" spans="2:32" x14ac:dyDescent="0.3">
      <c r="B307" s="13">
        <v>46127</v>
      </c>
      <c r="C307" s="70">
        <v>10021775</v>
      </c>
      <c r="D307" s="30" t="s">
        <v>1087</v>
      </c>
      <c r="E307" s="30" t="s">
        <v>1087</v>
      </c>
      <c r="F307" s="65" t="s">
        <v>945</v>
      </c>
      <c r="G307" s="75">
        <v>46148</v>
      </c>
      <c r="H307" s="15" t="s">
        <v>251</v>
      </c>
      <c r="I307" s="15" t="s">
        <v>1224</v>
      </c>
      <c r="J307" s="29">
        <v>45531</v>
      </c>
      <c r="K307" s="29">
        <v>45621</v>
      </c>
      <c r="L307" s="29" t="s">
        <v>211</v>
      </c>
      <c r="M307" s="29" t="s">
        <v>286</v>
      </c>
      <c r="N307" s="29" t="s">
        <v>24</v>
      </c>
      <c r="O307" s="29" t="s">
        <v>212</v>
      </c>
      <c r="P307" s="32"/>
      <c r="Q307" s="14" t="s">
        <v>1222</v>
      </c>
      <c r="R307" s="37"/>
      <c r="S307" s="38"/>
      <c r="T307" s="30"/>
      <c r="U307" s="39"/>
      <c r="V307" s="40"/>
      <c r="W307" s="39"/>
      <c r="X307" s="41"/>
      <c r="Y307" s="9"/>
      <c r="Z307" s="9"/>
      <c r="AA307" s="9"/>
      <c r="AB307" s="7">
        <v>21334</v>
      </c>
      <c r="AC307" s="33"/>
      <c r="AD307" s="33"/>
      <c r="AE307" s="33"/>
      <c r="AF307" s="66">
        <v>46310</v>
      </c>
    </row>
    <row r="308" spans="2:32" x14ac:dyDescent="0.3">
      <c r="B308" s="13">
        <v>46127</v>
      </c>
      <c r="C308" s="70">
        <v>10022711</v>
      </c>
      <c r="D308" s="30" t="s">
        <v>1100</v>
      </c>
      <c r="E308" s="30" t="s">
        <v>1100</v>
      </c>
      <c r="F308" s="65" t="s">
        <v>954</v>
      </c>
      <c r="G308" s="75">
        <v>46148</v>
      </c>
      <c r="H308" s="15" t="s">
        <v>251</v>
      </c>
      <c r="I308" s="15" t="s">
        <v>1224</v>
      </c>
      <c r="J308" s="29">
        <v>45661</v>
      </c>
      <c r="K308" s="29">
        <v>45901</v>
      </c>
      <c r="L308" s="29" t="s">
        <v>236</v>
      </c>
      <c r="M308" s="29" t="s">
        <v>767</v>
      </c>
      <c r="N308" s="29" t="s">
        <v>23</v>
      </c>
      <c r="O308" s="29" t="s">
        <v>212</v>
      </c>
      <c r="P308" s="32"/>
      <c r="Q308" s="14" t="s">
        <v>1222</v>
      </c>
      <c r="R308" s="37"/>
      <c r="S308" s="38"/>
      <c r="T308" s="30"/>
      <c r="U308" s="39"/>
      <c r="V308" s="40"/>
      <c r="W308" s="39"/>
      <c r="X308" s="41"/>
      <c r="Y308" s="9"/>
      <c r="Z308" s="9"/>
      <c r="AA308" s="9"/>
      <c r="AB308" s="7">
        <v>12514</v>
      </c>
      <c r="AC308" s="33"/>
      <c r="AD308" s="33"/>
      <c r="AE308" s="33"/>
      <c r="AF308" s="66">
        <v>46310</v>
      </c>
    </row>
    <row r="309" spans="2:32" x14ac:dyDescent="0.3">
      <c r="B309" s="13">
        <v>46127</v>
      </c>
      <c r="C309" s="70">
        <v>10023939</v>
      </c>
      <c r="D309" s="30" t="s">
        <v>1117</v>
      </c>
      <c r="E309" s="30" t="s">
        <v>1117</v>
      </c>
      <c r="F309" s="65" t="s">
        <v>38</v>
      </c>
      <c r="G309" s="75">
        <v>46148</v>
      </c>
      <c r="H309" s="15" t="s">
        <v>251</v>
      </c>
      <c r="I309" s="15" t="s">
        <v>1224</v>
      </c>
      <c r="J309" s="29">
        <v>45829</v>
      </c>
      <c r="K309" s="29">
        <v>45931</v>
      </c>
      <c r="L309" s="29" t="s">
        <v>211</v>
      </c>
      <c r="M309" s="29" t="s">
        <v>127</v>
      </c>
      <c r="N309" s="29" t="s">
        <v>23</v>
      </c>
      <c r="O309" s="29" t="s">
        <v>212</v>
      </c>
      <c r="P309" s="32"/>
      <c r="Q309" s="14" t="s">
        <v>1222</v>
      </c>
      <c r="R309" s="37"/>
      <c r="S309" s="38"/>
      <c r="T309" s="30"/>
      <c r="U309" s="39"/>
      <c r="V309" s="40"/>
      <c r="W309" s="39"/>
      <c r="X309" s="41"/>
      <c r="Y309" s="9"/>
      <c r="Z309" s="9"/>
      <c r="AA309" s="9"/>
      <c r="AB309" s="7">
        <v>10094</v>
      </c>
      <c r="AC309" s="33"/>
      <c r="AD309" s="33"/>
      <c r="AE309" s="33"/>
      <c r="AF309" s="66">
        <v>46310</v>
      </c>
    </row>
    <row r="310" spans="2:32" x14ac:dyDescent="0.3">
      <c r="B310" s="13">
        <v>46127</v>
      </c>
      <c r="C310" s="70">
        <v>10022758</v>
      </c>
      <c r="D310" s="30" t="s">
        <v>1123</v>
      </c>
      <c r="E310" s="30" t="s">
        <v>1123</v>
      </c>
      <c r="F310" s="65" t="s">
        <v>966</v>
      </c>
      <c r="G310" s="75">
        <v>46148</v>
      </c>
      <c r="H310" s="15" t="s">
        <v>251</v>
      </c>
      <c r="I310" s="15" t="s">
        <v>1224</v>
      </c>
      <c r="J310" s="29">
        <v>45658</v>
      </c>
      <c r="K310" s="29">
        <v>45931</v>
      </c>
      <c r="L310" s="29" t="s">
        <v>236</v>
      </c>
      <c r="M310" s="29" t="s">
        <v>105</v>
      </c>
      <c r="N310" s="29" t="s">
        <v>23</v>
      </c>
      <c r="O310" s="29" t="s">
        <v>212</v>
      </c>
      <c r="P310" s="32"/>
      <c r="Q310" s="14" t="s">
        <v>1222</v>
      </c>
      <c r="R310" s="37"/>
      <c r="S310" s="38"/>
      <c r="T310" s="30"/>
      <c r="U310" s="39"/>
      <c r="V310" s="40"/>
      <c r="W310" s="39"/>
      <c r="X310" s="41"/>
      <c r="Y310" s="9"/>
      <c r="Z310" s="9"/>
      <c r="AA310" s="9"/>
      <c r="AB310" s="7">
        <v>11983</v>
      </c>
      <c r="AC310" s="33"/>
      <c r="AD310" s="33"/>
      <c r="AE310" s="33"/>
      <c r="AF310" s="66">
        <v>46310</v>
      </c>
    </row>
    <row r="311" spans="2:32" x14ac:dyDescent="0.3">
      <c r="B311" s="13">
        <v>46127</v>
      </c>
      <c r="C311" s="70">
        <v>10017272</v>
      </c>
      <c r="D311" s="30" t="s">
        <v>1176</v>
      </c>
      <c r="E311" s="30" t="s">
        <v>1177</v>
      </c>
      <c r="F311" s="65" t="s">
        <v>267</v>
      </c>
      <c r="G311" s="75">
        <v>46148</v>
      </c>
      <c r="H311" s="15" t="s">
        <v>251</v>
      </c>
      <c r="I311" s="15"/>
      <c r="J311" s="29">
        <v>44772</v>
      </c>
      <c r="K311" s="29">
        <v>45778</v>
      </c>
      <c r="L311" s="29" t="s">
        <v>211</v>
      </c>
      <c r="M311" s="29" t="s">
        <v>114</v>
      </c>
      <c r="N311" s="29" t="s">
        <v>23</v>
      </c>
      <c r="O311" s="29" t="s">
        <v>212</v>
      </c>
      <c r="P311" s="32"/>
      <c r="Q311" s="14" t="s">
        <v>1222</v>
      </c>
      <c r="R311" s="37"/>
      <c r="S311" s="38"/>
      <c r="T311" s="30"/>
      <c r="U311" s="39"/>
      <c r="V311" s="40"/>
      <c r="W311" s="39"/>
      <c r="X311" s="41"/>
      <c r="Y311" s="9"/>
      <c r="Z311" s="9"/>
      <c r="AA311" s="9"/>
      <c r="AB311" s="7">
        <v>81806</v>
      </c>
      <c r="AC311" s="33"/>
      <c r="AD311" s="33"/>
      <c r="AE311" s="33"/>
      <c r="AF311" s="66">
        <v>46310</v>
      </c>
    </row>
    <row r="312" spans="2:32" x14ac:dyDescent="0.3">
      <c r="B312" s="13">
        <v>46127</v>
      </c>
      <c r="C312" s="70">
        <v>10021037</v>
      </c>
      <c r="D312" s="30" t="s">
        <v>1171</v>
      </c>
      <c r="E312" s="30" t="s">
        <v>1171</v>
      </c>
      <c r="F312" s="65" t="s">
        <v>1025</v>
      </c>
      <c r="G312" s="75">
        <v>46149</v>
      </c>
      <c r="H312" s="15" t="s">
        <v>251</v>
      </c>
      <c r="I312" s="15"/>
      <c r="J312" s="29">
        <v>45418</v>
      </c>
      <c r="K312" s="29">
        <v>46002</v>
      </c>
      <c r="L312" s="29" t="s">
        <v>1212</v>
      </c>
      <c r="M312" s="29" t="s">
        <v>104</v>
      </c>
      <c r="N312" s="29" t="s">
        <v>260</v>
      </c>
      <c r="O312" s="29" t="s">
        <v>221</v>
      </c>
      <c r="P312" s="32"/>
      <c r="Q312" s="14" t="s">
        <v>1222</v>
      </c>
      <c r="R312" s="37"/>
      <c r="S312" s="38"/>
      <c r="T312" s="30"/>
      <c r="U312" s="39"/>
      <c r="V312" s="40"/>
      <c r="W312" s="39"/>
      <c r="X312" s="41"/>
      <c r="Y312" s="9"/>
      <c r="Z312" s="9"/>
      <c r="AA312" s="9"/>
      <c r="AB312" s="7">
        <v>32890</v>
      </c>
      <c r="AC312" s="33"/>
      <c r="AD312" s="33"/>
      <c r="AE312" s="33"/>
      <c r="AF312" s="66">
        <v>46310</v>
      </c>
    </row>
    <row r="313" spans="2:32" x14ac:dyDescent="0.3">
      <c r="B313" s="13">
        <v>46127</v>
      </c>
      <c r="C313" s="70">
        <v>9994</v>
      </c>
      <c r="D313" s="30" t="s">
        <v>1136</v>
      </c>
      <c r="E313" s="30" t="s">
        <v>1137</v>
      </c>
      <c r="F313" s="65" t="s">
        <v>973</v>
      </c>
      <c r="G313" s="75">
        <v>46149</v>
      </c>
      <c r="H313" s="15" t="s">
        <v>251</v>
      </c>
      <c r="I313" s="15"/>
      <c r="J313" s="29">
        <v>42988</v>
      </c>
      <c r="K313" s="29">
        <v>45901</v>
      </c>
      <c r="L313" s="29" t="s">
        <v>215</v>
      </c>
      <c r="M313" s="29" t="s">
        <v>130</v>
      </c>
      <c r="N313" s="29" t="s">
        <v>23</v>
      </c>
      <c r="O313" s="29" t="s">
        <v>223</v>
      </c>
      <c r="P313" s="32">
        <v>45658</v>
      </c>
      <c r="Q313" s="14" t="s">
        <v>1222</v>
      </c>
      <c r="R313" s="37"/>
      <c r="S313" s="38"/>
      <c r="T313" s="30"/>
      <c r="U313" s="39"/>
      <c r="V313" s="40"/>
      <c r="W313" s="39"/>
      <c r="X313" s="41"/>
      <c r="Y313" s="9"/>
      <c r="Z313" s="9"/>
      <c r="AA313" s="9"/>
      <c r="AB313" s="7">
        <v>559278</v>
      </c>
      <c r="AC313" s="33"/>
      <c r="AD313" s="33"/>
      <c r="AE313" s="33"/>
      <c r="AF313" s="66">
        <v>46310</v>
      </c>
    </row>
    <row r="314" spans="2:32" x14ac:dyDescent="0.3">
      <c r="B314" s="13">
        <v>46127</v>
      </c>
      <c r="C314" s="70">
        <v>6453</v>
      </c>
      <c r="D314" s="30" t="s">
        <v>1069</v>
      </c>
      <c r="E314" s="30" t="s">
        <v>1070</v>
      </c>
      <c r="F314" s="65" t="s">
        <v>933</v>
      </c>
      <c r="G314" s="75">
        <v>46149</v>
      </c>
      <c r="H314" s="15" t="s">
        <v>251</v>
      </c>
      <c r="I314" s="15"/>
      <c r="J314" s="29">
        <v>41944</v>
      </c>
      <c r="K314" s="29">
        <v>45992</v>
      </c>
      <c r="L314" s="29" t="s">
        <v>216</v>
      </c>
      <c r="M314" s="29" t="s">
        <v>101</v>
      </c>
      <c r="N314" s="29" t="s">
        <v>23</v>
      </c>
      <c r="O314" s="29" t="s">
        <v>217</v>
      </c>
      <c r="P314" s="32">
        <v>45658</v>
      </c>
      <c r="Q314" s="14" t="s">
        <v>1222</v>
      </c>
      <c r="R314" s="37"/>
      <c r="S314" s="38"/>
      <c r="T314" s="30"/>
      <c r="U314" s="39"/>
      <c r="V314" s="40"/>
      <c r="W314" s="39"/>
      <c r="X314" s="41"/>
      <c r="Y314" s="9"/>
      <c r="Z314" s="9"/>
      <c r="AA314" s="9"/>
      <c r="AB314" s="7">
        <v>826254</v>
      </c>
      <c r="AC314" s="33"/>
      <c r="AD314" s="33"/>
      <c r="AE314" s="33"/>
      <c r="AF314" s="66">
        <v>46310</v>
      </c>
    </row>
    <row r="315" spans="2:32" x14ac:dyDescent="0.3">
      <c r="B315" s="13">
        <v>46127</v>
      </c>
      <c r="C315" s="70">
        <v>12291</v>
      </c>
      <c r="D315" s="30" t="s">
        <v>1044</v>
      </c>
      <c r="E315" s="30" t="s">
        <v>1045</v>
      </c>
      <c r="F315" s="65" t="s">
        <v>922</v>
      </c>
      <c r="G315" s="75">
        <v>46149</v>
      </c>
      <c r="H315" s="15" t="s">
        <v>251</v>
      </c>
      <c r="I315" s="15"/>
      <c r="J315" s="29">
        <v>43497</v>
      </c>
      <c r="K315" s="29">
        <v>45870</v>
      </c>
      <c r="L315" s="29" t="s">
        <v>219</v>
      </c>
      <c r="M315" s="29" t="s">
        <v>114</v>
      </c>
      <c r="N315" s="29" t="s">
        <v>23</v>
      </c>
      <c r="O315" s="29" t="s">
        <v>214</v>
      </c>
      <c r="P315" s="32"/>
      <c r="Q315" s="14" t="s">
        <v>1222</v>
      </c>
      <c r="R315" s="37"/>
      <c r="S315" s="38"/>
      <c r="T315" s="30"/>
      <c r="U315" s="39"/>
      <c r="V315" s="40"/>
      <c r="W315" s="39"/>
      <c r="X315" s="41"/>
      <c r="Y315" s="9"/>
      <c r="Z315" s="9"/>
      <c r="AA315" s="9"/>
      <c r="AB315" s="7">
        <v>418346</v>
      </c>
      <c r="AC315" s="33"/>
      <c r="AD315" s="33"/>
      <c r="AE315" s="33"/>
      <c r="AF315" s="66">
        <v>46310</v>
      </c>
    </row>
    <row r="316" spans="2:32" x14ac:dyDescent="0.3">
      <c r="B316" s="13">
        <v>46127</v>
      </c>
      <c r="C316" s="70">
        <v>15992</v>
      </c>
      <c r="D316" s="30" t="s">
        <v>1053</v>
      </c>
      <c r="E316" s="30" t="s">
        <v>1054</v>
      </c>
      <c r="F316" s="65" t="s">
        <v>875</v>
      </c>
      <c r="G316" s="75">
        <v>46149</v>
      </c>
      <c r="H316" s="15" t="s">
        <v>251</v>
      </c>
      <c r="I316" s="15"/>
      <c r="J316" s="29">
        <v>44468</v>
      </c>
      <c r="K316" s="29">
        <v>45827</v>
      </c>
      <c r="L316" s="29" t="s">
        <v>219</v>
      </c>
      <c r="M316" s="29" t="s">
        <v>115</v>
      </c>
      <c r="N316" s="29" t="s">
        <v>23</v>
      </c>
      <c r="O316" s="29" t="s">
        <v>214</v>
      </c>
      <c r="P316" s="32">
        <v>45292</v>
      </c>
      <c r="Q316" s="14" t="s">
        <v>1222</v>
      </c>
      <c r="R316" s="37"/>
      <c r="S316" s="38"/>
      <c r="T316" s="30"/>
      <c r="U316" s="39"/>
      <c r="V316" s="40"/>
      <c r="W316" s="39"/>
      <c r="X316" s="41"/>
      <c r="Y316" s="9"/>
      <c r="Z316" s="9"/>
      <c r="AA316" s="9"/>
      <c r="AB316" s="7">
        <v>129651</v>
      </c>
      <c r="AC316" s="33"/>
      <c r="AD316" s="33"/>
      <c r="AE316" s="33"/>
      <c r="AF316" s="66">
        <v>46310</v>
      </c>
    </row>
    <row r="317" spans="2:32" x14ac:dyDescent="0.3">
      <c r="B317" s="13">
        <v>46127</v>
      </c>
      <c r="C317" s="70">
        <v>12958</v>
      </c>
      <c r="D317" s="30" t="s">
        <v>1060</v>
      </c>
      <c r="E317" s="30" t="s">
        <v>1061</v>
      </c>
      <c r="F317" s="65" t="s">
        <v>926</v>
      </c>
      <c r="G317" s="75">
        <v>46149</v>
      </c>
      <c r="H317" s="15" t="s">
        <v>251</v>
      </c>
      <c r="I317" s="15"/>
      <c r="J317" s="29">
        <v>43667</v>
      </c>
      <c r="K317" s="29">
        <v>45870</v>
      </c>
      <c r="L317" s="29" t="s">
        <v>219</v>
      </c>
      <c r="M317" s="29" t="s">
        <v>161</v>
      </c>
      <c r="N317" s="29" t="s">
        <v>23</v>
      </c>
      <c r="O317" s="29" t="s">
        <v>214</v>
      </c>
      <c r="P317" s="32">
        <v>44562</v>
      </c>
      <c r="Q317" s="14" t="s">
        <v>1222</v>
      </c>
      <c r="R317" s="37"/>
      <c r="S317" s="38"/>
      <c r="T317" s="30"/>
      <c r="U317" s="39"/>
      <c r="V317" s="40"/>
      <c r="W317" s="39"/>
      <c r="X317" s="41"/>
      <c r="Y317" s="9"/>
      <c r="Z317" s="9"/>
      <c r="AA317" s="9"/>
      <c r="AB317" s="7">
        <v>353991</v>
      </c>
      <c r="AC317" s="33"/>
      <c r="AD317" s="33"/>
      <c r="AE317" s="33"/>
      <c r="AF317" s="66">
        <v>46310</v>
      </c>
    </row>
    <row r="318" spans="2:32" x14ac:dyDescent="0.3">
      <c r="B318" s="13">
        <v>46127</v>
      </c>
      <c r="C318" s="70">
        <v>10016660</v>
      </c>
      <c r="D318" s="30" t="s">
        <v>1128</v>
      </c>
      <c r="E318" s="30" t="s">
        <v>1128</v>
      </c>
      <c r="F318" s="65" t="s">
        <v>969</v>
      </c>
      <c r="G318" s="75">
        <v>46149</v>
      </c>
      <c r="H318" s="15" t="s">
        <v>251</v>
      </c>
      <c r="I318" s="15"/>
      <c r="J318" s="29">
        <v>44641</v>
      </c>
      <c r="K318" s="29">
        <v>45931</v>
      </c>
      <c r="L318" s="29" t="s">
        <v>219</v>
      </c>
      <c r="M318" s="29" t="s">
        <v>115</v>
      </c>
      <c r="N318" s="29" t="s">
        <v>23</v>
      </c>
      <c r="O318" s="29" t="s">
        <v>214</v>
      </c>
      <c r="P318" s="32">
        <v>45658</v>
      </c>
      <c r="Q318" s="14" t="s">
        <v>1222</v>
      </c>
      <c r="R318" s="37"/>
      <c r="S318" s="38"/>
      <c r="T318" s="30"/>
      <c r="U318" s="39"/>
      <c r="V318" s="40"/>
      <c r="W318" s="39"/>
      <c r="X318" s="41"/>
      <c r="Y318" s="9"/>
      <c r="Z318" s="9"/>
      <c r="AA318" s="9"/>
      <c r="AB318" s="7">
        <v>167486</v>
      </c>
      <c r="AC318" s="33"/>
      <c r="AD318" s="33"/>
      <c r="AE318" s="33"/>
      <c r="AF318" s="66">
        <v>46310</v>
      </c>
    </row>
    <row r="319" spans="2:32" x14ac:dyDescent="0.3">
      <c r="B319" s="13">
        <v>46127</v>
      </c>
      <c r="C319" s="70">
        <v>9504</v>
      </c>
      <c r="D319" s="30" t="s">
        <v>1149</v>
      </c>
      <c r="E319" s="30" t="s">
        <v>1150</v>
      </c>
      <c r="F319" s="65" t="s">
        <v>979</v>
      </c>
      <c r="G319" s="75">
        <v>46149</v>
      </c>
      <c r="H319" s="15" t="s">
        <v>251</v>
      </c>
      <c r="I319" s="15"/>
      <c r="J319" s="29">
        <v>42809</v>
      </c>
      <c r="K319" s="29">
        <v>45962</v>
      </c>
      <c r="L319" s="29" t="s">
        <v>219</v>
      </c>
      <c r="M319" s="29" t="s">
        <v>135</v>
      </c>
      <c r="N319" s="29" t="s">
        <v>16</v>
      </c>
      <c r="O319" s="29" t="s">
        <v>214</v>
      </c>
      <c r="P319" s="32"/>
      <c r="Q319" s="14" t="s">
        <v>1222</v>
      </c>
      <c r="R319" s="37"/>
      <c r="S319" s="38"/>
      <c r="T319" s="30"/>
      <c r="U319" s="39"/>
      <c r="V319" s="40"/>
      <c r="W319" s="39"/>
      <c r="X319" s="41"/>
      <c r="Y319" s="9"/>
      <c r="Z319" s="9"/>
      <c r="AA319" s="9"/>
      <c r="AB319" s="7">
        <v>512156</v>
      </c>
      <c r="AC319" s="33"/>
      <c r="AD319" s="33"/>
      <c r="AE319" s="33"/>
      <c r="AF319" s="66">
        <v>46310</v>
      </c>
    </row>
    <row r="320" spans="2:32" x14ac:dyDescent="0.3">
      <c r="B320" s="13">
        <v>46127</v>
      </c>
      <c r="C320" s="70">
        <v>10021472</v>
      </c>
      <c r="D320" s="30" t="s">
        <v>1166</v>
      </c>
      <c r="E320" s="30" t="s">
        <v>1166</v>
      </c>
      <c r="F320" s="65" t="s">
        <v>1022</v>
      </c>
      <c r="G320" s="75">
        <v>46149</v>
      </c>
      <c r="H320" s="15" t="s">
        <v>251</v>
      </c>
      <c r="I320" s="15" t="s">
        <v>1224</v>
      </c>
      <c r="J320" s="29">
        <v>45471</v>
      </c>
      <c r="K320" s="29">
        <v>45961</v>
      </c>
      <c r="L320" s="29" t="s">
        <v>219</v>
      </c>
      <c r="M320" s="29" t="s">
        <v>193</v>
      </c>
      <c r="N320" s="29" t="s">
        <v>16</v>
      </c>
      <c r="O320" s="29" t="s">
        <v>214</v>
      </c>
      <c r="P320" s="32"/>
      <c r="Q320" s="14" t="s">
        <v>1222</v>
      </c>
      <c r="R320" s="37"/>
      <c r="S320" s="38"/>
      <c r="T320" s="30"/>
      <c r="U320" s="39"/>
      <c r="V320" s="40"/>
      <c r="W320" s="39"/>
      <c r="X320" s="41"/>
      <c r="Y320" s="9"/>
      <c r="Z320" s="9"/>
      <c r="AA320" s="9"/>
      <c r="AB320" s="7">
        <v>42379</v>
      </c>
      <c r="AC320" s="33"/>
      <c r="AD320" s="33"/>
      <c r="AE320" s="33"/>
      <c r="AF320" s="66">
        <v>46310</v>
      </c>
    </row>
    <row r="321" spans="2:32" x14ac:dyDescent="0.3">
      <c r="B321" s="13">
        <v>46127</v>
      </c>
      <c r="C321" s="70">
        <v>13981</v>
      </c>
      <c r="D321" s="30" t="s">
        <v>1198</v>
      </c>
      <c r="E321" s="30" t="s">
        <v>1199</v>
      </c>
      <c r="F321" s="65" t="s">
        <v>1037</v>
      </c>
      <c r="G321" s="75">
        <v>46149</v>
      </c>
      <c r="H321" s="15" t="s">
        <v>251</v>
      </c>
      <c r="I321" s="15"/>
      <c r="J321" s="29">
        <v>43883</v>
      </c>
      <c r="K321" s="29">
        <v>45417</v>
      </c>
      <c r="L321" s="29" t="s">
        <v>222</v>
      </c>
      <c r="M321" s="29" t="s">
        <v>175</v>
      </c>
      <c r="N321" s="29" t="s">
        <v>22</v>
      </c>
      <c r="O321" s="29" t="s">
        <v>214</v>
      </c>
      <c r="P321" s="32">
        <v>44927</v>
      </c>
      <c r="Q321" s="14" t="s">
        <v>1222</v>
      </c>
      <c r="R321" s="37"/>
      <c r="S321" s="38"/>
      <c r="T321" s="30"/>
      <c r="U321" s="39"/>
      <c r="V321" s="40"/>
      <c r="W321" s="39"/>
      <c r="X321" s="41"/>
      <c r="Y321" s="9"/>
      <c r="Z321" s="9"/>
      <c r="AA321" s="9"/>
      <c r="AB321" s="7">
        <v>74846</v>
      </c>
      <c r="AC321" s="33"/>
      <c r="AD321" s="33"/>
      <c r="AE321" s="33"/>
      <c r="AF321" s="66">
        <v>46310</v>
      </c>
    </row>
    <row r="322" spans="2:32" x14ac:dyDescent="0.3">
      <c r="B322" s="13">
        <v>46127</v>
      </c>
      <c r="C322" s="70">
        <v>10023372</v>
      </c>
      <c r="D322" s="30" t="s">
        <v>1091</v>
      </c>
      <c r="E322" s="30" t="s">
        <v>1091</v>
      </c>
      <c r="F322" s="65" t="s">
        <v>722</v>
      </c>
      <c r="G322" s="75">
        <v>46149</v>
      </c>
      <c r="H322" s="15" t="s">
        <v>251</v>
      </c>
      <c r="I322" s="15" t="s">
        <v>1224</v>
      </c>
      <c r="J322" s="29">
        <v>45721</v>
      </c>
      <c r="K322" s="29">
        <v>45947</v>
      </c>
      <c r="L322" s="29" t="s">
        <v>211</v>
      </c>
      <c r="M322" s="29" t="s">
        <v>118</v>
      </c>
      <c r="N322" s="29" t="s">
        <v>23</v>
      </c>
      <c r="O322" s="29" t="s">
        <v>212</v>
      </c>
      <c r="P322" s="32"/>
      <c r="Q322" s="14" t="s">
        <v>1222</v>
      </c>
      <c r="R322" s="37"/>
      <c r="S322" s="38"/>
      <c r="T322" s="30"/>
      <c r="U322" s="39"/>
      <c r="V322" s="40"/>
      <c r="W322" s="39"/>
      <c r="X322" s="41"/>
      <c r="Y322" s="9"/>
      <c r="Z322" s="9"/>
      <c r="AA322" s="9"/>
      <c r="AB322" s="7">
        <v>18007</v>
      </c>
      <c r="AC322" s="33"/>
      <c r="AD322" s="33"/>
      <c r="AE322" s="33"/>
      <c r="AF322" s="66">
        <v>46310</v>
      </c>
    </row>
    <row r="323" spans="2:32" x14ac:dyDescent="0.3">
      <c r="B323" s="13">
        <v>46127</v>
      </c>
      <c r="C323" s="70">
        <v>10021945</v>
      </c>
      <c r="D323" s="30" t="s">
        <v>1113</v>
      </c>
      <c r="E323" s="30" t="s">
        <v>1113</v>
      </c>
      <c r="F323" s="65" t="s">
        <v>1009</v>
      </c>
      <c r="G323" s="75">
        <v>46149</v>
      </c>
      <c r="H323" s="15" t="s">
        <v>251</v>
      </c>
      <c r="I323" s="15" t="s">
        <v>1224</v>
      </c>
      <c r="J323" s="29">
        <v>45560</v>
      </c>
      <c r="K323" s="29">
        <v>45778</v>
      </c>
      <c r="L323" s="29" t="s">
        <v>211</v>
      </c>
      <c r="M323" s="29" t="s">
        <v>138</v>
      </c>
      <c r="N323" s="29" t="s">
        <v>23</v>
      </c>
      <c r="O323" s="29" t="s">
        <v>212</v>
      </c>
      <c r="P323" s="32"/>
      <c r="Q323" s="14" t="s">
        <v>1222</v>
      </c>
      <c r="R323" s="37"/>
      <c r="S323" s="38"/>
      <c r="T323" s="30"/>
      <c r="U323" s="39"/>
      <c r="V323" s="40"/>
      <c r="W323" s="39"/>
      <c r="X323" s="41"/>
      <c r="Y323" s="9"/>
      <c r="Z323" s="9"/>
      <c r="AA323" s="9"/>
      <c r="AB323" s="7">
        <v>5469</v>
      </c>
      <c r="AC323" s="33"/>
      <c r="AD323" s="33"/>
      <c r="AE323" s="33"/>
      <c r="AF323" s="66">
        <v>46310</v>
      </c>
    </row>
    <row r="324" spans="2:32" x14ac:dyDescent="0.3">
      <c r="B324" s="13">
        <v>46127</v>
      </c>
      <c r="C324" s="70">
        <v>10017612</v>
      </c>
      <c r="D324" s="30" t="s">
        <v>1154</v>
      </c>
      <c r="E324" s="30" t="s">
        <v>1155</v>
      </c>
      <c r="F324" s="65" t="s">
        <v>1017</v>
      </c>
      <c r="G324" s="75">
        <v>46149</v>
      </c>
      <c r="H324" s="15" t="s">
        <v>251</v>
      </c>
      <c r="I324" s="15"/>
      <c r="J324" s="29">
        <v>44823</v>
      </c>
      <c r="K324" s="29">
        <v>45870</v>
      </c>
      <c r="L324" s="29" t="s">
        <v>211</v>
      </c>
      <c r="M324" s="29" t="s">
        <v>141</v>
      </c>
      <c r="N324" s="29" t="s">
        <v>23</v>
      </c>
      <c r="O324" s="29" t="s">
        <v>212</v>
      </c>
      <c r="P324" s="32"/>
      <c r="Q324" s="14" t="s">
        <v>1222</v>
      </c>
      <c r="R324" s="37"/>
      <c r="S324" s="38"/>
      <c r="T324" s="30"/>
      <c r="U324" s="39"/>
      <c r="V324" s="40"/>
      <c r="W324" s="39"/>
      <c r="X324" s="41"/>
      <c r="Y324" s="9"/>
      <c r="Z324" s="9"/>
      <c r="AA324" s="9"/>
      <c r="AB324" s="7">
        <v>86918</v>
      </c>
      <c r="AC324" s="33"/>
      <c r="AD324" s="33"/>
      <c r="AE324" s="33"/>
      <c r="AF324" s="66">
        <v>46310</v>
      </c>
    </row>
    <row r="325" spans="2:32" x14ac:dyDescent="0.3">
      <c r="B325" s="13">
        <v>46127</v>
      </c>
      <c r="C325" s="70">
        <v>10019452</v>
      </c>
      <c r="D325" s="61">
        <v>8801648530234</v>
      </c>
      <c r="E325" s="61">
        <v>8801648530234</v>
      </c>
      <c r="F325" s="65" t="s">
        <v>32</v>
      </c>
      <c r="G325" s="75">
        <v>46149</v>
      </c>
      <c r="H325" s="15" t="s">
        <v>251</v>
      </c>
      <c r="I325" s="15" t="s">
        <v>1224</v>
      </c>
      <c r="J325" s="29">
        <v>45150</v>
      </c>
      <c r="K325" s="29">
        <v>45811</v>
      </c>
      <c r="L325" s="29" t="s">
        <v>211</v>
      </c>
      <c r="M325" s="29" t="s">
        <v>166</v>
      </c>
      <c r="N325" s="29" t="s">
        <v>23</v>
      </c>
      <c r="O325" s="29" t="s">
        <v>212</v>
      </c>
      <c r="P325" s="32"/>
      <c r="Q325" s="14" t="s">
        <v>1222</v>
      </c>
      <c r="R325" s="37"/>
      <c r="S325" s="38"/>
      <c r="T325" s="30"/>
      <c r="U325" s="39"/>
      <c r="V325" s="40"/>
      <c r="W325" s="39"/>
      <c r="X325" s="41"/>
      <c r="Y325" s="9"/>
      <c r="Z325" s="9"/>
      <c r="AA325" s="9"/>
      <c r="AB325" s="7">
        <v>59461</v>
      </c>
      <c r="AC325" s="33"/>
      <c r="AD325" s="33"/>
      <c r="AE325" s="33"/>
      <c r="AF325" s="66">
        <v>46310</v>
      </c>
    </row>
    <row r="326" spans="2:32" x14ac:dyDescent="0.3">
      <c r="B326" s="13">
        <v>46040</v>
      </c>
      <c r="C326" s="61">
        <v>10019025</v>
      </c>
      <c r="D326" s="30" t="s">
        <v>554</v>
      </c>
      <c r="E326" s="30" t="s">
        <v>554</v>
      </c>
      <c r="F326" s="15" t="s">
        <v>477</v>
      </c>
      <c r="G326" s="69">
        <v>46152</v>
      </c>
      <c r="H326" s="15" t="s">
        <v>251</v>
      </c>
      <c r="I326" s="15" t="s">
        <v>912</v>
      </c>
      <c r="J326" s="29">
        <v>45088</v>
      </c>
      <c r="K326" s="29">
        <v>45658</v>
      </c>
      <c r="L326" s="29" t="s">
        <v>211</v>
      </c>
      <c r="M326" s="29" t="s">
        <v>180</v>
      </c>
      <c r="N326" s="29" t="s">
        <v>23</v>
      </c>
      <c r="O326" s="29" t="s">
        <v>212</v>
      </c>
      <c r="P326" s="32"/>
      <c r="Q326" s="14"/>
      <c r="R326" s="37"/>
      <c r="S326" s="38"/>
      <c r="T326" s="30"/>
      <c r="U326" s="39"/>
      <c r="V326" s="40"/>
      <c r="W326" s="39"/>
      <c r="X326" s="41"/>
      <c r="Y326" s="9"/>
      <c r="Z326" s="9"/>
      <c r="AA326" s="9"/>
      <c r="AB326" s="7">
        <v>6920</v>
      </c>
      <c r="AC326" s="33"/>
      <c r="AD326" s="33"/>
      <c r="AE326" s="33"/>
      <c r="AF326" s="50">
        <v>46221</v>
      </c>
    </row>
    <row r="327" spans="2:32" x14ac:dyDescent="0.3">
      <c r="B327" s="13">
        <v>46055</v>
      </c>
      <c r="C327" s="61">
        <v>10022870</v>
      </c>
      <c r="D327" s="30" t="s">
        <v>794</v>
      </c>
      <c r="E327" s="30">
        <v>8801750646227</v>
      </c>
      <c r="F327" s="15" t="s">
        <v>13</v>
      </c>
      <c r="G327" s="69">
        <v>46152</v>
      </c>
      <c r="H327" s="15" t="s">
        <v>251</v>
      </c>
      <c r="I327" s="15"/>
      <c r="J327" s="29">
        <v>45656</v>
      </c>
      <c r="K327" s="29">
        <v>45763</v>
      </c>
      <c r="L327" s="29" t="s">
        <v>219</v>
      </c>
      <c r="M327" s="29" t="s">
        <v>185</v>
      </c>
      <c r="N327" s="29" t="s">
        <v>24</v>
      </c>
      <c r="O327" s="29" t="s">
        <v>214</v>
      </c>
      <c r="P327" s="32"/>
      <c r="Q327" s="14"/>
      <c r="R327" s="37"/>
      <c r="S327" s="38"/>
      <c r="T327" s="30"/>
      <c r="U327" s="39"/>
      <c r="V327" s="40"/>
      <c r="W327" s="39"/>
      <c r="X327" s="41"/>
      <c r="Y327" s="9"/>
      <c r="Z327" s="9"/>
      <c r="AA327" s="9"/>
      <c r="AB327" s="7">
        <v>13569</v>
      </c>
      <c r="AC327" s="33"/>
      <c r="AD327" s="33"/>
      <c r="AE327" s="33"/>
      <c r="AF327" s="50">
        <v>46281</v>
      </c>
    </row>
    <row r="328" spans="2:32" x14ac:dyDescent="0.3">
      <c r="B328" s="13">
        <v>46127</v>
      </c>
      <c r="C328" s="70">
        <v>10022540</v>
      </c>
      <c r="D328" s="30" t="s">
        <v>1063</v>
      </c>
      <c r="E328" s="30" t="s">
        <v>1063</v>
      </c>
      <c r="F328" s="65" t="s">
        <v>928</v>
      </c>
      <c r="G328" s="69">
        <v>46152</v>
      </c>
      <c r="H328" s="15" t="s">
        <v>251</v>
      </c>
      <c r="I328" s="15"/>
      <c r="J328" s="29">
        <v>45649</v>
      </c>
      <c r="K328" s="29">
        <v>46040</v>
      </c>
      <c r="L328" s="29" t="s">
        <v>224</v>
      </c>
      <c r="M328" s="29" t="s">
        <v>121</v>
      </c>
      <c r="N328" s="29" t="s">
        <v>28</v>
      </c>
      <c r="O328" s="29" t="s">
        <v>217</v>
      </c>
      <c r="P328" s="32"/>
      <c r="Q328" s="14" t="s">
        <v>1222</v>
      </c>
      <c r="R328" s="37"/>
      <c r="S328" s="38"/>
      <c r="T328" s="30"/>
      <c r="U328" s="39"/>
      <c r="V328" s="40"/>
      <c r="W328" s="39"/>
      <c r="X328" s="41"/>
      <c r="Y328" s="9"/>
      <c r="Z328" s="9"/>
      <c r="AA328" s="9"/>
      <c r="AB328" s="7">
        <v>59113</v>
      </c>
      <c r="AC328" s="33"/>
      <c r="AD328" s="33"/>
      <c r="AE328" s="33"/>
      <c r="AF328" s="66">
        <v>46310</v>
      </c>
    </row>
    <row r="329" spans="2:32" x14ac:dyDescent="0.3">
      <c r="B329" s="13">
        <v>46127</v>
      </c>
      <c r="C329" s="70">
        <v>10024569</v>
      </c>
      <c r="D329" s="30" t="s">
        <v>1090</v>
      </c>
      <c r="E329" s="30" t="s">
        <v>1090</v>
      </c>
      <c r="F329" s="65" t="s">
        <v>306</v>
      </c>
      <c r="G329" s="69">
        <v>46152</v>
      </c>
      <c r="H329" s="15" t="s">
        <v>251</v>
      </c>
      <c r="I329" s="15"/>
      <c r="J329" s="29">
        <v>45928</v>
      </c>
      <c r="K329" s="29">
        <v>46041</v>
      </c>
      <c r="L329" s="29" t="s">
        <v>331</v>
      </c>
      <c r="M329" s="29" t="s">
        <v>266</v>
      </c>
      <c r="N329" s="29" t="s">
        <v>26</v>
      </c>
      <c r="O329" s="29" t="s">
        <v>217</v>
      </c>
      <c r="P329" s="32"/>
      <c r="Q329" s="14" t="s">
        <v>1222</v>
      </c>
      <c r="R329" s="37"/>
      <c r="S329" s="38"/>
      <c r="T329" s="30"/>
      <c r="U329" s="39"/>
      <c r="V329" s="40"/>
      <c r="W329" s="39"/>
      <c r="X329" s="41"/>
      <c r="Y329" s="9"/>
      <c r="Z329" s="9"/>
      <c r="AA329" s="9"/>
      <c r="AB329" s="7">
        <v>19572</v>
      </c>
      <c r="AC329" s="33"/>
      <c r="AD329" s="33"/>
      <c r="AE329" s="33"/>
      <c r="AF329" s="66">
        <v>46310</v>
      </c>
    </row>
    <row r="330" spans="2:32" x14ac:dyDescent="0.3">
      <c r="B330" s="13">
        <v>46127</v>
      </c>
      <c r="C330" s="70">
        <v>13798</v>
      </c>
      <c r="D330" s="30" t="s">
        <v>1065</v>
      </c>
      <c r="E330" s="30" t="s">
        <v>1065</v>
      </c>
      <c r="F330" s="65" t="s">
        <v>930</v>
      </c>
      <c r="G330" s="69">
        <v>46152</v>
      </c>
      <c r="H330" s="15" t="s">
        <v>251</v>
      </c>
      <c r="I330" s="15"/>
      <c r="J330" s="29">
        <v>43862</v>
      </c>
      <c r="K330" s="29">
        <v>46023</v>
      </c>
      <c r="L330" s="29" t="s">
        <v>676</v>
      </c>
      <c r="M330" s="29" t="s">
        <v>1205</v>
      </c>
      <c r="N330" s="29" t="s">
        <v>26</v>
      </c>
      <c r="O330" s="29" t="s">
        <v>227</v>
      </c>
      <c r="P330" s="32">
        <v>44927</v>
      </c>
      <c r="Q330" s="14" t="s">
        <v>1222</v>
      </c>
      <c r="R330" s="37"/>
      <c r="S330" s="38"/>
      <c r="T330" s="30"/>
      <c r="U330" s="39"/>
      <c r="V330" s="40"/>
      <c r="W330" s="39"/>
      <c r="X330" s="41"/>
      <c r="Y330" s="9"/>
      <c r="Z330" s="9"/>
      <c r="AA330" s="9"/>
      <c r="AB330" s="7">
        <v>206841</v>
      </c>
      <c r="AC330" s="33"/>
      <c r="AD330" s="33"/>
      <c r="AE330" s="33"/>
      <c r="AF330" s="66">
        <v>46310</v>
      </c>
    </row>
    <row r="331" spans="2:32" x14ac:dyDescent="0.3">
      <c r="B331" s="13">
        <v>46127</v>
      </c>
      <c r="C331" s="70">
        <v>6679</v>
      </c>
      <c r="D331" s="61">
        <v>8801724243203</v>
      </c>
      <c r="E331" s="61">
        <v>1756002135</v>
      </c>
      <c r="F331" s="65" t="s">
        <v>83</v>
      </c>
      <c r="G331" s="69">
        <v>46152</v>
      </c>
      <c r="H331" s="15" t="s">
        <v>251</v>
      </c>
      <c r="I331" s="15" t="s">
        <v>1224</v>
      </c>
      <c r="J331" s="29">
        <v>42005</v>
      </c>
      <c r="K331" s="29">
        <v>46054</v>
      </c>
      <c r="L331" s="29" t="s">
        <v>216</v>
      </c>
      <c r="M331" s="29" t="s">
        <v>108</v>
      </c>
      <c r="N331" s="29" t="s">
        <v>23</v>
      </c>
      <c r="O331" s="29" t="s">
        <v>217</v>
      </c>
      <c r="P331" s="32">
        <v>45170</v>
      </c>
      <c r="Q331" s="14" t="s">
        <v>1222</v>
      </c>
      <c r="R331" s="37"/>
      <c r="S331" s="38"/>
      <c r="T331" s="30"/>
      <c r="U331" s="39"/>
      <c r="V331" s="40"/>
      <c r="W331" s="39"/>
      <c r="X331" s="41"/>
      <c r="Y331" s="9"/>
      <c r="Z331" s="9"/>
      <c r="AA331" s="9"/>
      <c r="AB331" s="7">
        <v>823059</v>
      </c>
      <c r="AC331" s="33"/>
      <c r="AD331" s="33"/>
      <c r="AE331" s="33"/>
      <c r="AF331" s="66">
        <v>46310</v>
      </c>
    </row>
    <row r="332" spans="2:32" x14ac:dyDescent="0.3">
      <c r="B332" s="13">
        <v>46127</v>
      </c>
      <c r="C332" s="70">
        <v>12508</v>
      </c>
      <c r="D332" s="30" t="s">
        <v>1048</v>
      </c>
      <c r="E332" s="30" t="s">
        <v>1049</v>
      </c>
      <c r="F332" s="65" t="s">
        <v>54</v>
      </c>
      <c r="G332" s="69">
        <v>46152</v>
      </c>
      <c r="H332" s="15" t="s">
        <v>251</v>
      </c>
      <c r="I332" s="15"/>
      <c r="J332" s="29">
        <v>43552</v>
      </c>
      <c r="K332" s="29">
        <v>45902</v>
      </c>
      <c r="L332" s="29" t="s">
        <v>219</v>
      </c>
      <c r="M332" s="29" t="s">
        <v>161</v>
      </c>
      <c r="N332" s="29" t="s">
        <v>23</v>
      </c>
      <c r="O332" s="29" t="s">
        <v>214</v>
      </c>
      <c r="P332" s="32">
        <v>44562</v>
      </c>
      <c r="Q332" s="14" t="s">
        <v>1222</v>
      </c>
      <c r="R332" s="37"/>
      <c r="S332" s="38"/>
      <c r="T332" s="30"/>
      <c r="U332" s="39"/>
      <c r="V332" s="40"/>
      <c r="W332" s="39"/>
      <c r="X332" s="41"/>
      <c r="Y332" s="9"/>
      <c r="Z332" s="9"/>
      <c r="AA332" s="9"/>
      <c r="AB332" s="7">
        <v>401908</v>
      </c>
      <c r="AC332" s="33"/>
      <c r="AD332" s="33"/>
      <c r="AE332" s="33"/>
      <c r="AF332" s="66">
        <v>46310</v>
      </c>
    </row>
    <row r="333" spans="2:32" x14ac:dyDescent="0.3">
      <c r="B333" s="13">
        <v>46127</v>
      </c>
      <c r="C333" s="70">
        <v>12794</v>
      </c>
      <c r="D333" s="30" t="s">
        <v>1055</v>
      </c>
      <c r="E333" s="30" t="s">
        <v>1056</v>
      </c>
      <c r="F333" s="65" t="s">
        <v>925</v>
      </c>
      <c r="G333" s="69">
        <v>46152</v>
      </c>
      <c r="H333" s="15" t="s">
        <v>251</v>
      </c>
      <c r="I333" s="15"/>
      <c r="J333" s="29">
        <v>43626</v>
      </c>
      <c r="K333" s="29">
        <v>45778</v>
      </c>
      <c r="L333" s="29" t="s">
        <v>219</v>
      </c>
      <c r="M333" s="29" t="s">
        <v>103</v>
      </c>
      <c r="N333" s="29" t="s">
        <v>23</v>
      </c>
      <c r="O333" s="29" t="s">
        <v>214</v>
      </c>
      <c r="P333" s="32">
        <v>44562</v>
      </c>
      <c r="Q333" s="14" t="s">
        <v>1222</v>
      </c>
      <c r="R333" s="37"/>
      <c r="S333" s="38"/>
      <c r="T333" s="30"/>
      <c r="U333" s="39"/>
      <c r="V333" s="40"/>
      <c r="W333" s="39"/>
      <c r="X333" s="41"/>
      <c r="Y333" s="9"/>
      <c r="Z333" s="9"/>
      <c r="AA333" s="9"/>
      <c r="AB333" s="7">
        <v>374170</v>
      </c>
      <c r="AC333" s="33"/>
      <c r="AD333" s="33"/>
      <c r="AE333" s="33"/>
      <c r="AF333" s="66">
        <v>46310</v>
      </c>
    </row>
    <row r="334" spans="2:32" x14ac:dyDescent="0.3">
      <c r="B334" s="13">
        <v>46127</v>
      </c>
      <c r="C334" s="70">
        <v>7732</v>
      </c>
      <c r="D334" s="30" t="s">
        <v>1066</v>
      </c>
      <c r="E334" s="30" t="s">
        <v>1067</v>
      </c>
      <c r="F334" s="65" t="s">
        <v>931</v>
      </c>
      <c r="G334" s="69">
        <v>46152</v>
      </c>
      <c r="H334" s="15" t="s">
        <v>251</v>
      </c>
      <c r="I334" s="15"/>
      <c r="J334" s="29">
        <v>42322</v>
      </c>
      <c r="K334" s="29">
        <v>45839</v>
      </c>
      <c r="L334" s="29" t="s">
        <v>219</v>
      </c>
      <c r="M334" s="29" t="s">
        <v>138</v>
      </c>
      <c r="N334" s="29" t="s">
        <v>23</v>
      </c>
      <c r="O334" s="29" t="s">
        <v>214</v>
      </c>
      <c r="P334" s="32"/>
      <c r="Q334" s="14" t="s">
        <v>1222</v>
      </c>
      <c r="R334" s="37"/>
      <c r="S334" s="38"/>
      <c r="T334" s="30"/>
      <c r="U334" s="39"/>
      <c r="V334" s="40"/>
      <c r="W334" s="39"/>
      <c r="X334" s="41"/>
      <c r="Y334" s="9"/>
      <c r="Z334" s="9"/>
      <c r="AA334" s="9"/>
      <c r="AB334" s="7">
        <v>605085</v>
      </c>
      <c r="AC334" s="33"/>
      <c r="AD334" s="33"/>
      <c r="AE334" s="33"/>
      <c r="AF334" s="66">
        <v>46310</v>
      </c>
    </row>
    <row r="335" spans="2:32" x14ac:dyDescent="0.3">
      <c r="B335" s="13">
        <v>46127</v>
      </c>
      <c r="C335" s="70">
        <v>15275</v>
      </c>
      <c r="D335" s="30" t="s">
        <v>1092</v>
      </c>
      <c r="E335" s="30" t="s">
        <v>1093</v>
      </c>
      <c r="F335" s="65" t="s">
        <v>317</v>
      </c>
      <c r="G335" s="69">
        <v>46152</v>
      </c>
      <c r="H335" s="15" t="s">
        <v>251</v>
      </c>
      <c r="I335" s="15"/>
      <c r="J335" s="29">
        <v>44287</v>
      </c>
      <c r="K335" s="29">
        <v>45566</v>
      </c>
      <c r="L335" s="29" t="s">
        <v>219</v>
      </c>
      <c r="M335" s="29" t="s">
        <v>67</v>
      </c>
      <c r="N335" s="29" t="s">
        <v>24</v>
      </c>
      <c r="O335" s="29" t="s">
        <v>214</v>
      </c>
      <c r="P335" s="32"/>
      <c r="Q335" s="14" t="s">
        <v>1222</v>
      </c>
      <c r="R335" s="37"/>
      <c r="S335" s="38"/>
      <c r="T335" s="30"/>
      <c r="U335" s="39"/>
      <c r="V335" s="40"/>
      <c r="W335" s="39"/>
      <c r="X335" s="41"/>
      <c r="Y335" s="9"/>
      <c r="Z335" s="9"/>
      <c r="AA335" s="9"/>
      <c r="AB335" s="7">
        <v>96103</v>
      </c>
      <c r="AC335" s="33"/>
      <c r="AD335" s="33"/>
      <c r="AE335" s="33"/>
      <c r="AF335" s="66">
        <v>46310</v>
      </c>
    </row>
    <row r="336" spans="2:32" x14ac:dyDescent="0.3">
      <c r="B336" s="13">
        <v>46127</v>
      </c>
      <c r="C336" s="70">
        <v>10016770</v>
      </c>
      <c r="D336" s="30" t="s">
        <v>1138</v>
      </c>
      <c r="E336" s="30" t="s">
        <v>1138</v>
      </c>
      <c r="F336" s="65" t="s">
        <v>63</v>
      </c>
      <c r="G336" s="69">
        <v>46152</v>
      </c>
      <c r="H336" s="15" t="s">
        <v>251</v>
      </c>
      <c r="I336" s="15"/>
      <c r="J336" s="29">
        <v>44643</v>
      </c>
      <c r="K336" s="29">
        <v>45905</v>
      </c>
      <c r="L336" s="29" t="s">
        <v>219</v>
      </c>
      <c r="M336" s="29" t="s">
        <v>153</v>
      </c>
      <c r="N336" s="29" t="s">
        <v>23</v>
      </c>
      <c r="O336" s="29" t="s">
        <v>214</v>
      </c>
      <c r="P336" s="32">
        <v>45658</v>
      </c>
      <c r="Q336" s="14" t="s">
        <v>1222</v>
      </c>
      <c r="R336" s="37"/>
      <c r="S336" s="38"/>
      <c r="T336" s="30"/>
      <c r="U336" s="39"/>
      <c r="V336" s="40"/>
      <c r="W336" s="39"/>
      <c r="X336" s="41"/>
      <c r="Y336" s="9"/>
      <c r="Z336" s="9"/>
      <c r="AA336" s="9"/>
      <c r="AB336" s="7">
        <v>143737</v>
      </c>
      <c r="AC336" s="33"/>
      <c r="AD336" s="33"/>
      <c r="AE336" s="33"/>
      <c r="AF336" s="66">
        <v>46310</v>
      </c>
    </row>
    <row r="337" spans="2:32" x14ac:dyDescent="0.3">
      <c r="B337" s="13">
        <v>46127</v>
      </c>
      <c r="C337" s="70">
        <v>10022224</v>
      </c>
      <c r="D337" s="30" t="s">
        <v>1095</v>
      </c>
      <c r="E337" s="30" t="s">
        <v>1095</v>
      </c>
      <c r="F337" s="65" t="s">
        <v>950</v>
      </c>
      <c r="G337" s="69">
        <v>46152</v>
      </c>
      <c r="H337" s="15" t="s">
        <v>251</v>
      </c>
      <c r="I337" s="15" t="s">
        <v>1224</v>
      </c>
      <c r="J337" s="29">
        <v>45595</v>
      </c>
      <c r="K337" s="29">
        <v>45962</v>
      </c>
      <c r="L337" s="29" t="s">
        <v>211</v>
      </c>
      <c r="M337" s="29" t="s">
        <v>167</v>
      </c>
      <c r="N337" s="29" t="s">
        <v>24</v>
      </c>
      <c r="O337" s="29" t="s">
        <v>212</v>
      </c>
      <c r="P337" s="32"/>
      <c r="Q337" s="14" t="s">
        <v>1222</v>
      </c>
      <c r="R337" s="37"/>
      <c r="S337" s="38"/>
      <c r="T337" s="30"/>
      <c r="U337" s="39"/>
      <c r="V337" s="40"/>
      <c r="W337" s="39"/>
      <c r="X337" s="41"/>
      <c r="Y337" s="9"/>
      <c r="Z337" s="9"/>
      <c r="AA337" s="9"/>
      <c r="AB337" s="7">
        <v>16230</v>
      </c>
      <c r="AC337" s="33"/>
      <c r="AD337" s="33"/>
      <c r="AE337" s="33"/>
      <c r="AF337" s="66">
        <v>46310</v>
      </c>
    </row>
    <row r="338" spans="2:32" x14ac:dyDescent="0.3">
      <c r="B338" s="13">
        <v>46127</v>
      </c>
      <c r="C338" s="70">
        <v>10022361</v>
      </c>
      <c r="D338" s="30" t="s">
        <v>1105</v>
      </c>
      <c r="E338" s="30" t="s">
        <v>1105</v>
      </c>
      <c r="F338" s="65" t="s">
        <v>958</v>
      </c>
      <c r="G338" s="69">
        <v>46152</v>
      </c>
      <c r="H338" s="15" t="s">
        <v>251</v>
      </c>
      <c r="I338" s="15" t="s">
        <v>1224</v>
      </c>
      <c r="J338" s="29">
        <v>45612</v>
      </c>
      <c r="K338" s="29">
        <v>45942</v>
      </c>
      <c r="L338" s="29" t="s">
        <v>211</v>
      </c>
      <c r="M338" s="29" t="s">
        <v>193</v>
      </c>
      <c r="N338" s="29" t="s">
        <v>16</v>
      </c>
      <c r="O338" s="29" t="s">
        <v>212</v>
      </c>
      <c r="P338" s="32"/>
      <c r="Q338" s="14" t="s">
        <v>1222</v>
      </c>
      <c r="R338" s="37"/>
      <c r="S338" s="38"/>
      <c r="T338" s="30"/>
      <c r="U338" s="39"/>
      <c r="V338" s="40"/>
      <c r="W338" s="39"/>
      <c r="X338" s="41"/>
      <c r="Y338" s="9"/>
      <c r="Z338" s="9"/>
      <c r="AA338" s="9"/>
      <c r="AB338" s="7">
        <v>11194</v>
      </c>
      <c r="AC338" s="33"/>
      <c r="AD338" s="33"/>
      <c r="AE338" s="33"/>
      <c r="AF338" s="66">
        <v>46310</v>
      </c>
    </row>
    <row r="339" spans="2:32" x14ac:dyDescent="0.3">
      <c r="B339" s="13">
        <v>46127</v>
      </c>
      <c r="C339" s="70">
        <v>10023449</v>
      </c>
      <c r="D339" s="30" t="s">
        <v>1106</v>
      </c>
      <c r="E339" s="30" t="s">
        <v>1106</v>
      </c>
      <c r="F339" s="65" t="s">
        <v>959</v>
      </c>
      <c r="G339" s="69">
        <v>46152</v>
      </c>
      <c r="H339" s="15" t="s">
        <v>251</v>
      </c>
      <c r="I339" s="15" t="s">
        <v>1224</v>
      </c>
      <c r="J339" s="29">
        <v>45752</v>
      </c>
      <c r="K339" s="29">
        <v>45931</v>
      </c>
      <c r="L339" s="29" t="s">
        <v>211</v>
      </c>
      <c r="M339" s="29" t="s">
        <v>173</v>
      </c>
      <c r="N339" s="29" t="s">
        <v>16</v>
      </c>
      <c r="O339" s="29" t="s">
        <v>212</v>
      </c>
      <c r="P339" s="32"/>
      <c r="Q339" s="14" t="s">
        <v>1222</v>
      </c>
      <c r="R339" s="37"/>
      <c r="S339" s="38"/>
      <c r="T339" s="30"/>
      <c r="U339" s="39"/>
      <c r="V339" s="40"/>
      <c r="W339" s="39"/>
      <c r="X339" s="41"/>
      <c r="Y339" s="9"/>
      <c r="Z339" s="9"/>
      <c r="AA339" s="9"/>
      <c r="AB339" s="7">
        <v>9421</v>
      </c>
      <c r="AC339" s="33"/>
      <c r="AD339" s="33"/>
      <c r="AE339" s="33"/>
      <c r="AF339" s="66">
        <v>46310</v>
      </c>
    </row>
    <row r="340" spans="2:32" x14ac:dyDescent="0.3">
      <c r="B340" s="13">
        <v>46127</v>
      </c>
      <c r="C340" s="70">
        <v>10022718</v>
      </c>
      <c r="D340" s="30" t="s">
        <v>1109</v>
      </c>
      <c r="E340" s="30" t="s">
        <v>1109</v>
      </c>
      <c r="F340" s="65" t="s">
        <v>51</v>
      </c>
      <c r="G340" s="69">
        <v>46152</v>
      </c>
      <c r="H340" s="15" t="s">
        <v>251</v>
      </c>
      <c r="I340" s="15" t="s">
        <v>1224</v>
      </c>
      <c r="J340" s="29">
        <v>45652</v>
      </c>
      <c r="K340" s="29">
        <v>45717</v>
      </c>
      <c r="L340" s="29" t="s">
        <v>236</v>
      </c>
      <c r="M340" s="29" t="s">
        <v>97</v>
      </c>
      <c r="N340" s="29" t="s">
        <v>23</v>
      </c>
      <c r="O340" s="29" t="s">
        <v>212</v>
      </c>
      <c r="P340" s="32"/>
      <c r="Q340" s="14" t="s">
        <v>1222</v>
      </c>
      <c r="R340" s="37"/>
      <c r="S340" s="38"/>
      <c r="T340" s="30"/>
      <c r="U340" s="39"/>
      <c r="V340" s="40"/>
      <c r="W340" s="39"/>
      <c r="X340" s="41"/>
      <c r="Y340" s="9"/>
      <c r="Z340" s="9"/>
      <c r="AA340" s="9"/>
      <c r="AB340" s="7">
        <v>7852</v>
      </c>
      <c r="AC340" s="33"/>
      <c r="AD340" s="33"/>
      <c r="AE340" s="33"/>
      <c r="AF340" s="66">
        <v>46310</v>
      </c>
    </row>
    <row r="341" spans="2:32" x14ac:dyDescent="0.3">
      <c r="B341" s="13">
        <v>46127</v>
      </c>
      <c r="C341" s="70">
        <v>10017499</v>
      </c>
      <c r="D341" s="30" t="s">
        <v>1147</v>
      </c>
      <c r="E341" s="30" t="s">
        <v>1147</v>
      </c>
      <c r="F341" s="65" t="s">
        <v>978</v>
      </c>
      <c r="G341" s="69">
        <v>46152</v>
      </c>
      <c r="H341" s="15" t="s">
        <v>251</v>
      </c>
      <c r="I341" s="15"/>
      <c r="J341" s="29">
        <v>44805</v>
      </c>
      <c r="K341" s="29">
        <v>45992</v>
      </c>
      <c r="L341" s="29" t="s">
        <v>211</v>
      </c>
      <c r="M341" s="29" t="s">
        <v>148</v>
      </c>
      <c r="N341" s="29" t="s">
        <v>23</v>
      </c>
      <c r="O341" s="29" t="s">
        <v>212</v>
      </c>
      <c r="P341" s="32"/>
      <c r="Q341" s="14" t="s">
        <v>1222</v>
      </c>
      <c r="R341" s="37"/>
      <c r="S341" s="38"/>
      <c r="T341" s="30"/>
      <c r="U341" s="39"/>
      <c r="V341" s="40"/>
      <c r="W341" s="39"/>
      <c r="X341" s="41"/>
      <c r="Y341" s="9"/>
      <c r="Z341" s="9"/>
      <c r="AA341" s="9"/>
      <c r="AB341" s="7">
        <v>84087</v>
      </c>
      <c r="AC341" s="33"/>
      <c r="AD341" s="33"/>
      <c r="AE341" s="33"/>
      <c r="AF341" s="66">
        <v>46310</v>
      </c>
    </row>
    <row r="342" spans="2:32" x14ac:dyDescent="0.3">
      <c r="B342" s="13">
        <v>46127</v>
      </c>
      <c r="C342" s="70">
        <v>367</v>
      </c>
      <c r="D342" s="30" t="s">
        <v>1193</v>
      </c>
      <c r="E342" s="30" t="s">
        <v>1193</v>
      </c>
      <c r="F342" s="65" t="s">
        <v>998</v>
      </c>
      <c r="G342" s="69">
        <v>46152</v>
      </c>
      <c r="H342" s="15" t="s">
        <v>251</v>
      </c>
      <c r="I342" s="15"/>
      <c r="J342" s="29">
        <v>38596</v>
      </c>
      <c r="K342" s="29">
        <v>45925</v>
      </c>
      <c r="L342" s="29" t="s">
        <v>1215</v>
      </c>
      <c r="M342" s="29" t="s">
        <v>170</v>
      </c>
      <c r="N342" s="29" t="s">
        <v>17</v>
      </c>
      <c r="O342" s="29" t="s">
        <v>261</v>
      </c>
      <c r="P342" s="32"/>
      <c r="Q342" s="14" t="s">
        <v>1222</v>
      </c>
      <c r="R342" s="37"/>
      <c r="S342" s="38"/>
      <c r="T342" s="30"/>
      <c r="U342" s="39"/>
      <c r="V342" s="40"/>
      <c r="W342" s="39"/>
      <c r="X342" s="41"/>
      <c r="Y342" s="9"/>
      <c r="Z342" s="9"/>
      <c r="AA342" s="9"/>
      <c r="AB342" s="7">
        <v>918498</v>
      </c>
      <c r="AC342" s="33"/>
      <c r="AD342" s="33"/>
      <c r="AE342" s="33"/>
      <c r="AF342" s="66">
        <v>46310</v>
      </c>
    </row>
    <row r="343" spans="2:32" x14ac:dyDescent="0.3">
      <c r="B343" s="13">
        <v>46127</v>
      </c>
      <c r="C343" s="70">
        <v>6571</v>
      </c>
      <c r="D343" s="30" t="s">
        <v>1146</v>
      </c>
      <c r="E343" s="30" t="s">
        <v>1146</v>
      </c>
      <c r="F343" s="65" t="s">
        <v>977</v>
      </c>
      <c r="G343" s="69">
        <v>46152</v>
      </c>
      <c r="H343" s="15" t="s">
        <v>251</v>
      </c>
      <c r="I343" s="15"/>
      <c r="J343" s="29">
        <v>41980</v>
      </c>
      <c r="K343" s="29">
        <v>45962</v>
      </c>
      <c r="L343" s="29" t="s">
        <v>219</v>
      </c>
      <c r="M343" s="29" t="s">
        <v>98</v>
      </c>
      <c r="N343" s="29" t="s">
        <v>23</v>
      </c>
      <c r="O343" s="29" t="s">
        <v>214</v>
      </c>
      <c r="P343" s="32"/>
      <c r="Q343" s="14" t="s">
        <v>1222</v>
      </c>
      <c r="R343" s="37"/>
      <c r="S343" s="38"/>
      <c r="T343" s="30"/>
      <c r="U343" s="39"/>
      <c r="V343" s="40"/>
      <c r="W343" s="39"/>
      <c r="X343" s="41"/>
      <c r="Y343" s="9"/>
      <c r="Z343" s="9"/>
      <c r="AA343" s="9"/>
      <c r="AB343" s="7">
        <v>902803</v>
      </c>
      <c r="AC343" s="33"/>
      <c r="AD343" s="33"/>
      <c r="AE343" s="33"/>
      <c r="AF343" s="66">
        <v>46310</v>
      </c>
    </row>
    <row r="344" spans="2:32" x14ac:dyDescent="0.3">
      <c r="B344" s="13">
        <v>46127</v>
      </c>
      <c r="C344" s="70">
        <v>10022252</v>
      </c>
      <c r="D344" s="30" t="s">
        <v>1052</v>
      </c>
      <c r="E344" s="30" t="s">
        <v>1052</v>
      </c>
      <c r="F344" s="65" t="s">
        <v>299</v>
      </c>
      <c r="G344" s="69">
        <v>46153</v>
      </c>
      <c r="H344" s="15" t="s">
        <v>251</v>
      </c>
      <c r="I344" s="15"/>
      <c r="J344" s="29">
        <v>45607</v>
      </c>
      <c r="K344" s="29">
        <v>45977</v>
      </c>
      <c r="L344" s="29" t="s">
        <v>623</v>
      </c>
      <c r="M344" s="29" t="s">
        <v>624</v>
      </c>
      <c r="N344" s="29" t="s">
        <v>264</v>
      </c>
      <c r="O344" s="29" t="s">
        <v>217</v>
      </c>
      <c r="P344" s="32"/>
      <c r="Q344" s="14" t="s">
        <v>1222</v>
      </c>
      <c r="R344" s="37"/>
      <c r="S344" s="38"/>
      <c r="T344" s="30"/>
      <c r="U344" s="39"/>
      <c r="V344" s="40"/>
      <c r="W344" s="39"/>
      <c r="X344" s="41"/>
      <c r="Y344" s="9"/>
      <c r="Z344" s="9"/>
      <c r="AA344" s="9"/>
      <c r="AB344" s="7">
        <v>69300</v>
      </c>
      <c r="AC344" s="33"/>
      <c r="AD344" s="33"/>
      <c r="AE344" s="33"/>
      <c r="AF344" s="66">
        <v>46310</v>
      </c>
    </row>
    <row r="345" spans="2:32" x14ac:dyDescent="0.3">
      <c r="B345" s="13">
        <v>46127</v>
      </c>
      <c r="C345" s="70">
        <v>7752</v>
      </c>
      <c r="D345" s="30" t="s">
        <v>1043</v>
      </c>
      <c r="E345" s="30" t="s">
        <v>1043</v>
      </c>
      <c r="F345" s="65" t="s">
        <v>921</v>
      </c>
      <c r="G345" s="69">
        <v>46153</v>
      </c>
      <c r="H345" s="15" t="s">
        <v>251</v>
      </c>
      <c r="I345" s="15"/>
      <c r="J345" s="29">
        <v>42336</v>
      </c>
      <c r="K345" s="29">
        <v>45870</v>
      </c>
      <c r="L345" s="29" t="s">
        <v>219</v>
      </c>
      <c r="M345" s="29" t="s">
        <v>95</v>
      </c>
      <c r="N345" s="29" t="s">
        <v>23</v>
      </c>
      <c r="O345" s="29" t="s">
        <v>214</v>
      </c>
      <c r="P345" s="32"/>
      <c r="Q345" s="14" t="s">
        <v>1222</v>
      </c>
      <c r="R345" s="37"/>
      <c r="S345" s="38"/>
      <c r="T345" s="30"/>
      <c r="U345" s="39"/>
      <c r="V345" s="40"/>
      <c r="W345" s="39"/>
      <c r="X345" s="41"/>
      <c r="Y345" s="9"/>
      <c r="Z345" s="9"/>
      <c r="AA345" s="9"/>
      <c r="AB345" s="7">
        <v>612349</v>
      </c>
      <c r="AC345" s="33"/>
      <c r="AD345" s="33"/>
      <c r="AE345" s="33"/>
      <c r="AF345" s="66">
        <v>46310</v>
      </c>
    </row>
    <row r="346" spans="2:32" x14ac:dyDescent="0.3">
      <c r="B346" s="13">
        <v>46127</v>
      </c>
      <c r="C346" s="70">
        <v>14840</v>
      </c>
      <c r="D346" s="30" t="s">
        <v>1139</v>
      </c>
      <c r="E346" s="30" t="s">
        <v>1140</v>
      </c>
      <c r="F346" s="65" t="s">
        <v>1014</v>
      </c>
      <c r="G346" s="69">
        <v>46153</v>
      </c>
      <c r="H346" s="15" t="s">
        <v>251</v>
      </c>
      <c r="I346" s="15"/>
      <c r="J346" s="29">
        <v>44221</v>
      </c>
      <c r="K346" s="29">
        <v>45962</v>
      </c>
      <c r="L346" s="29" t="s">
        <v>219</v>
      </c>
      <c r="M346" s="29" t="s">
        <v>164</v>
      </c>
      <c r="N346" s="29" t="s">
        <v>23</v>
      </c>
      <c r="O346" s="29" t="s">
        <v>214</v>
      </c>
      <c r="P346" s="32"/>
      <c r="Q346" s="14" t="s">
        <v>1222</v>
      </c>
      <c r="R346" s="37"/>
      <c r="S346" s="38"/>
      <c r="T346" s="30"/>
      <c r="U346" s="39"/>
      <c r="V346" s="40"/>
      <c r="W346" s="39"/>
      <c r="X346" s="41"/>
      <c r="Y346" s="9"/>
      <c r="Z346" s="9"/>
      <c r="AA346" s="9"/>
      <c r="AB346" s="7">
        <v>212196</v>
      </c>
      <c r="AC346" s="33"/>
      <c r="AD346" s="33"/>
      <c r="AE346" s="33"/>
      <c r="AF346" s="66">
        <v>46310</v>
      </c>
    </row>
    <row r="347" spans="2:32" x14ac:dyDescent="0.3">
      <c r="B347" s="13">
        <v>46127</v>
      </c>
      <c r="C347" s="70">
        <v>10024250</v>
      </c>
      <c r="D347" s="61">
        <v>8801911782566</v>
      </c>
      <c r="E347" s="61">
        <v>8801911782566</v>
      </c>
      <c r="F347" s="65" t="s">
        <v>989</v>
      </c>
      <c r="G347" s="69">
        <v>46153</v>
      </c>
      <c r="H347" s="15" t="s">
        <v>251</v>
      </c>
      <c r="I347" s="15" t="s">
        <v>1224</v>
      </c>
      <c r="J347" s="29">
        <v>45880</v>
      </c>
      <c r="K347" s="29">
        <v>45962</v>
      </c>
      <c r="L347" s="29" t="s">
        <v>219</v>
      </c>
      <c r="M347" s="29" t="s">
        <v>126</v>
      </c>
      <c r="N347" s="29" t="s">
        <v>23</v>
      </c>
      <c r="O347" s="29" t="s">
        <v>214</v>
      </c>
      <c r="P347" s="32"/>
      <c r="Q347" s="14" t="s">
        <v>1222</v>
      </c>
      <c r="R347" s="37"/>
      <c r="S347" s="38"/>
      <c r="T347" s="30"/>
      <c r="U347" s="39"/>
      <c r="V347" s="40"/>
      <c r="W347" s="39"/>
      <c r="X347" s="41"/>
      <c r="Y347" s="9"/>
      <c r="Z347" s="9"/>
      <c r="AA347" s="9"/>
      <c r="AB347" s="7">
        <v>6580</v>
      </c>
      <c r="AC347" s="33"/>
      <c r="AD347" s="33"/>
      <c r="AE347" s="33"/>
      <c r="AF347" s="66">
        <v>46310</v>
      </c>
    </row>
    <row r="348" spans="2:32" x14ac:dyDescent="0.3">
      <c r="B348" s="13">
        <v>46127</v>
      </c>
      <c r="C348" s="70">
        <v>10022610</v>
      </c>
      <c r="D348" s="30" t="s">
        <v>1084</v>
      </c>
      <c r="E348" s="30" t="s">
        <v>1084</v>
      </c>
      <c r="F348" s="65" t="s">
        <v>943</v>
      </c>
      <c r="G348" s="69">
        <v>46153</v>
      </c>
      <c r="H348" s="15" t="s">
        <v>251</v>
      </c>
      <c r="I348" s="15" t="s">
        <v>1224</v>
      </c>
      <c r="J348" s="29">
        <v>45650</v>
      </c>
      <c r="K348" s="29">
        <v>45832</v>
      </c>
      <c r="L348" s="29" t="s">
        <v>211</v>
      </c>
      <c r="M348" s="29" t="s">
        <v>1207</v>
      </c>
      <c r="N348" s="29" t="s">
        <v>25</v>
      </c>
      <c r="O348" s="29" t="s">
        <v>212</v>
      </c>
      <c r="P348" s="32"/>
      <c r="Q348" s="14" t="s">
        <v>1222</v>
      </c>
      <c r="R348" s="37"/>
      <c r="S348" s="38"/>
      <c r="T348" s="30"/>
      <c r="U348" s="39"/>
      <c r="V348" s="40"/>
      <c r="W348" s="39"/>
      <c r="X348" s="41"/>
      <c r="Y348" s="9"/>
      <c r="Z348" s="9"/>
      <c r="AA348" s="9"/>
      <c r="AB348" s="7">
        <v>23943</v>
      </c>
      <c r="AC348" s="33"/>
      <c r="AD348" s="33"/>
      <c r="AE348" s="33"/>
      <c r="AF348" s="66">
        <v>46310</v>
      </c>
    </row>
    <row r="349" spans="2:32" x14ac:dyDescent="0.3">
      <c r="B349" s="13">
        <v>46127</v>
      </c>
      <c r="C349" s="70">
        <v>10021216</v>
      </c>
      <c r="D349" s="30" t="s">
        <v>1148</v>
      </c>
      <c r="E349" s="30" t="s">
        <v>1148</v>
      </c>
      <c r="F349" s="65" t="s">
        <v>77</v>
      </c>
      <c r="G349" s="69">
        <v>46153</v>
      </c>
      <c r="H349" s="15" t="s">
        <v>251</v>
      </c>
      <c r="I349" s="15" t="s">
        <v>1224</v>
      </c>
      <c r="J349" s="29">
        <v>45447</v>
      </c>
      <c r="K349" s="29">
        <v>45839</v>
      </c>
      <c r="L349" s="29" t="s">
        <v>211</v>
      </c>
      <c r="M349" s="29" t="s">
        <v>146</v>
      </c>
      <c r="N349" s="29" t="s">
        <v>23</v>
      </c>
      <c r="O349" s="29" t="s">
        <v>212</v>
      </c>
      <c r="P349" s="32"/>
      <c r="Q349" s="14" t="s">
        <v>1222</v>
      </c>
      <c r="R349" s="37"/>
      <c r="S349" s="38"/>
      <c r="T349" s="30"/>
      <c r="U349" s="39"/>
      <c r="V349" s="40"/>
      <c r="W349" s="39"/>
      <c r="X349" s="41"/>
      <c r="Y349" s="9"/>
      <c r="Z349" s="9"/>
      <c r="AA349" s="9"/>
      <c r="AB349" s="7">
        <v>61184</v>
      </c>
      <c r="AC349" s="33"/>
      <c r="AD349" s="33"/>
      <c r="AE349" s="33"/>
      <c r="AF349" s="66">
        <v>46310</v>
      </c>
    </row>
    <row r="350" spans="2:32" x14ac:dyDescent="0.3">
      <c r="B350" s="13">
        <v>46127</v>
      </c>
      <c r="C350" s="70">
        <v>10017088</v>
      </c>
      <c r="D350" s="30">
        <v>8801632226582</v>
      </c>
      <c r="E350" s="30" t="s">
        <v>72</v>
      </c>
      <c r="F350" s="65" t="s">
        <v>993</v>
      </c>
      <c r="G350" s="69">
        <v>46153</v>
      </c>
      <c r="H350" s="15" t="s">
        <v>251</v>
      </c>
      <c r="I350" s="15"/>
      <c r="J350" s="29">
        <v>44742</v>
      </c>
      <c r="K350" s="29">
        <v>45931</v>
      </c>
      <c r="L350" s="29" t="s">
        <v>595</v>
      </c>
      <c r="M350" s="29" t="s">
        <v>150</v>
      </c>
      <c r="N350" s="29" t="s">
        <v>17</v>
      </c>
      <c r="O350" s="29" t="s">
        <v>212</v>
      </c>
      <c r="P350" s="32"/>
      <c r="Q350" s="14" t="s">
        <v>1222</v>
      </c>
      <c r="R350" s="37"/>
      <c r="S350" s="38"/>
      <c r="T350" s="30"/>
      <c r="U350" s="39"/>
      <c r="V350" s="40"/>
      <c r="W350" s="39"/>
      <c r="X350" s="41"/>
      <c r="Y350" s="9"/>
      <c r="Z350" s="9"/>
      <c r="AA350" s="9"/>
      <c r="AB350" s="7">
        <v>51999</v>
      </c>
      <c r="AC350" s="33"/>
      <c r="AD350" s="33"/>
      <c r="AE350" s="33"/>
      <c r="AF350" s="66">
        <v>46310</v>
      </c>
    </row>
    <row r="351" spans="2:32" x14ac:dyDescent="0.3">
      <c r="B351" s="13">
        <v>45965</v>
      </c>
      <c r="C351" s="61">
        <v>10021307</v>
      </c>
      <c r="D351" s="30" t="s">
        <v>200</v>
      </c>
      <c r="E351" s="30"/>
      <c r="F351" s="15" t="s">
        <v>69</v>
      </c>
      <c r="G351" s="69">
        <v>46153</v>
      </c>
      <c r="H351" s="15" t="s">
        <v>251</v>
      </c>
      <c r="I351" s="49">
        <v>45442</v>
      </c>
      <c r="J351" s="49">
        <v>45605</v>
      </c>
      <c r="K351" s="49" t="s">
        <v>211</v>
      </c>
      <c r="L351" s="29" t="s">
        <v>115</v>
      </c>
      <c r="M351" s="29" t="s">
        <v>23</v>
      </c>
      <c r="N351" s="29" t="s">
        <v>212</v>
      </c>
      <c r="O351" s="32"/>
      <c r="P351" s="14" t="s">
        <v>257</v>
      </c>
      <c r="Q351" s="37" t="s">
        <v>258</v>
      </c>
      <c r="R351" s="38">
        <v>7614</v>
      </c>
      <c r="S351" s="30">
        <v>0</v>
      </c>
      <c r="T351" s="39">
        <v>0</v>
      </c>
      <c r="U351" s="40">
        <v>0</v>
      </c>
      <c r="V351" s="39">
        <v>0</v>
      </c>
      <c r="W351" s="41">
        <v>0</v>
      </c>
      <c r="X351" s="9">
        <v>0</v>
      </c>
      <c r="Y351" s="9"/>
      <c r="Z351" s="9"/>
      <c r="AA351" s="7">
        <v>7614</v>
      </c>
      <c r="AB351" s="33"/>
      <c r="AC351" s="33"/>
      <c r="AD351" s="33"/>
      <c r="AE351" s="50">
        <f t="shared" ref="AE351" si="8">EDATE(B351,6)</f>
        <v>46146</v>
      </c>
    </row>
    <row r="352" spans="2:32" x14ac:dyDescent="0.3">
      <c r="B352" s="13">
        <v>46127</v>
      </c>
      <c r="C352" s="70">
        <v>10024536</v>
      </c>
      <c r="D352" s="30" t="s">
        <v>1071</v>
      </c>
      <c r="E352" s="30" t="s">
        <v>1071</v>
      </c>
      <c r="F352" s="65" t="s">
        <v>934</v>
      </c>
      <c r="G352" s="69">
        <v>46154</v>
      </c>
      <c r="H352" s="15" t="s">
        <v>251</v>
      </c>
      <c r="I352" s="15"/>
      <c r="J352" s="29">
        <v>45922</v>
      </c>
      <c r="K352" s="29">
        <v>46023</v>
      </c>
      <c r="L352" s="29" t="s">
        <v>331</v>
      </c>
      <c r="M352" s="29" t="s">
        <v>309</v>
      </c>
      <c r="N352" s="29" t="s">
        <v>26</v>
      </c>
      <c r="O352" s="29" t="s">
        <v>217</v>
      </c>
      <c r="P352" s="32"/>
      <c r="Q352" s="14" t="s">
        <v>1222</v>
      </c>
      <c r="R352" s="37"/>
      <c r="S352" s="38"/>
      <c r="T352" s="30"/>
      <c r="U352" s="39"/>
      <c r="V352" s="40"/>
      <c r="W352" s="39"/>
      <c r="X352" s="41"/>
      <c r="Y352" s="9"/>
      <c r="Z352" s="9"/>
      <c r="AA352" s="9"/>
      <c r="AB352" s="7">
        <v>32831</v>
      </c>
      <c r="AC352" s="33"/>
      <c r="AD352" s="33"/>
      <c r="AE352" s="33"/>
      <c r="AF352" s="66">
        <v>46310</v>
      </c>
    </row>
    <row r="353" spans="2:32" x14ac:dyDescent="0.3">
      <c r="B353" s="13">
        <v>46127</v>
      </c>
      <c r="C353" s="70">
        <v>10020432</v>
      </c>
      <c r="D353" s="30">
        <v>8801716956422</v>
      </c>
      <c r="E353" s="30" t="s">
        <v>1125</v>
      </c>
      <c r="F353" s="65" t="s">
        <v>56</v>
      </c>
      <c r="G353" s="69">
        <v>46154</v>
      </c>
      <c r="H353" s="15" t="s">
        <v>251</v>
      </c>
      <c r="I353" s="15"/>
      <c r="J353" s="29">
        <v>45328</v>
      </c>
      <c r="K353" s="29">
        <v>45992</v>
      </c>
      <c r="L353" s="29" t="s">
        <v>216</v>
      </c>
      <c r="M353" s="29" t="s">
        <v>183</v>
      </c>
      <c r="N353" s="29" t="s">
        <v>23</v>
      </c>
      <c r="O353" s="29" t="s">
        <v>217</v>
      </c>
      <c r="P353" s="32"/>
      <c r="Q353" s="14" t="s">
        <v>1222</v>
      </c>
      <c r="R353" s="37"/>
      <c r="S353" s="38"/>
      <c r="T353" s="30"/>
      <c r="U353" s="39"/>
      <c r="V353" s="40"/>
      <c r="W353" s="39"/>
      <c r="X353" s="41"/>
      <c r="Y353" s="9"/>
      <c r="Z353" s="9"/>
      <c r="AA353" s="9"/>
      <c r="AB353" s="7">
        <v>142575</v>
      </c>
      <c r="AC353" s="33"/>
      <c r="AD353" s="33"/>
      <c r="AE353" s="33"/>
      <c r="AF353" s="66">
        <v>46310</v>
      </c>
    </row>
    <row r="354" spans="2:32" x14ac:dyDescent="0.3">
      <c r="B354" s="13">
        <v>46127</v>
      </c>
      <c r="C354" s="70">
        <v>10017505</v>
      </c>
      <c r="D354" s="30" t="s">
        <v>1079</v>
      </c>
      <c r="E354" s="30" t="s">
        <v>1080</v>
      </c>
      <c r="F354" s="65" t="s">
        <v>940</v>
      </c>
      <c r="G354" s="69">
        <v>46154</v>
      </c>
      <c r="H354" s="15" t="s">
        <v>251</v>
      </c>
      <c r="I354" s="15"/>
      <c r="J354" s="29">
        <v>44805</v>
      </c>
      <c r="K354" s="29">
        <v>45292</v>
      </c>
      <c r="L354" s="29" t="s">
        <v>219</v>
      </c>
      <c r="M354" s="29" t="s">
        <v>148</v>
      </c>
      <c r="N354" s="29" t="s">
        <v>23</v>
      </c>
      <c r="O354" s="29" t="s">
        <v>214</v>
      </c>
      <c r="P354" s="32"/>
      <c r="Q354" s="14" t="s">
        <v>1222</v>
      </c>
      <c r="R354" s="37"/>
      <c r="S354" s="38"/>
      <c r="T354" s="30"/>
      <c r="U354" s="39"/>
      <c r="V354" s="40"/>
      <c r="W354" s="39"/>
      <c r="X354" s="41"/>
      <c r="Y354" s="9"/>
      <c r="Z354" s="9"/>
      <c r="AA354" s="9"/>
      <c r="AB354" s="7">
        <v>27924</v>
      </c>
      <c r="AC354" s="33"/>
      <c r="AD354" s="33"/>
      <c r="AE354" s="33"/>
      <c r="AF354" s="66">
        <v>46310</v>
      </c>
    </row>
    <row r="355" spans="2:32" x14ac:dyDescent="0.3">
      <c r="B355" s="13">
        <v>46127</v>
      </c>
      <c r="C355" s="70">
        <v>10019706</v>
      </c>
      <c r="D355" s="30" t="s">
        <v>1076</v>
      </c>
      <c r="E355" s="30" t="s">
        <v>1076</v>
      </c>
      <c r="F355" s="65" t="s">
        <v>937</v>
      </c>
      <c r="G355" s="69">
        <v>46154</v>
      </c>
      <c r="H355" s="15" t="s">
        <v>251</v>
      </c>
      <c r="I355" s="15"/>
      <c r="J355" s="29">
        <v>45199</v>
      </c>
      <c r="K355" s="29">
        <v>45321</v>
      </c>
      <c r="L355" s="29" t="s">
        <v>211</v>
      </c>
      <c r="M355" s="29" t="s">
        <v>148</v>
      </c>
      <c r="N355" s="29" t="s">
        <v>23</v>
      </c>
      <c r="O355" s="29" t="s">
        <v>212</v>
      </c>
      <c r="P355" s="32"/>
      <c r="Q355" s="14" t="s">
        <v>1222</v>
      </c>
      <c r="R355" s="37"/>
      <c r="S355" s="38"/>
      <c r="T355" s="30"/>
      <c r="U355" s="39"/>
      <c r="V355" s="40"/>
      <c r="W355" s="39"/>
      <c r="X355" s="41"/>
      <c r="Y355" s="9"/>
      <c r="Z355" s="9"/>
      <c r="AA355" s="9"/>
      <c r="AB355" s="7">
        <v>28076</v>
      </c>
      <c r="AC355" s="33"/>
      <c r="AD355" s="33"/>
      <c r="AE355" s="33"/>
      <c r="AF355" s="66">
        <v>46310</v>
      </c>
    </row>
    <row r="356" spans="2:32" x14ac:dyDescent="0.3">
      <c r="B356" s="13">
        <v>46127</v>
      </c>
      <c r="C356" s="70">
        <v>10019508</v>
      </c>
      <c r="D356" s="30" t="s">
        <v>1094</v>
      </c>
      <c r="E356" s="30" t="s">
        <v>1094</v>
      </c>
      <c r="F356" s="65" t="s">
        <v>949</v>
      </c>
      <c r="G356" s="69">
        <v>46154</v>
      </c>
      <c r="H356" s="15" t="s">
        <v>251</v>
      </c>
      <c r="I356" s="15"/>
      <c r="J356" s="29">
        <v>45180</v>
      </c>
      <c r="K356" s="29">
        <v>45336</v>
      </c>
      <c r="L356" s="29" t="s">
        <v>211</v>
      </c>
      <c r="M356" s="29" t="s">
        <v>148</v>
      </c>
      <c r="N356" s="29" t="s">
        <v>23</v>
      </c>
      <c r="O356" s="29" t="s">
        <v>212</v>
      </c>
      <c r="P356" s="32"/>
      <c r="Q356" s="14" t="s">
        <v>1222</v>
      </c>
      <c r="R356" s="37"/>
      <c r="S356" s="38"/>
      <c r="T356" s="30"/>
      <c r="U356" s="39"/>
      <c r="V356" s="40"/>
      <c r="W356" s="39"/>
      <c r="X356" s="41"/>
      <c r="Y356" s="9"/>
      <c r="Z356" s="9"/>
      <c r="AA356" s="9"/>
      <c r="AB356" s="7">
        <v>16517</v>
      </c>
      <c r="AC356" s="33"/>
      <c r="AD356" s="33"/>
      <c r="AE356" s="33"/>
      <c r="AF356" s="66">
        <v>46310</v>
      </c>
    </row>
    <row r="357" spans="2:32" x14ac:dyDescent="0.3">
      <c r="B357" s="13">
        <v>46127</v>
      </c>
      <c r="C357" s="70">
        <v>10019235</v>
      </c>
      <c r="D357" s="30" t="s">
        <v>1157</v>
      </c>
      <c r="E357" s="30" t="s">
        <v>1157</v>
      </c>
      <c r="F357" s="65" t="s">
        <v>1018</v>
      </c>
      <c r="G357" s="69">
        <v>46154</v>
      </c>
      <c r="H357" s="15" t="s">
        <v>251</v>
      </c>
      <c r="I357" s="15"/>
      <c r="J357" s="29">
        <v>45109</v>
      </c>
      <c r="K357" s="29">
        <v>45901</v>
      </c>
      <c r="L357" s="29" t="s">
        <v>211</v>
      </c>
      <c r="M357" s="29" t="s">
        <v>1207</v>
      </c>
      <c r="N357" s="29" t="s">
        <v>25</v>
      </c>
      <c r="O357" s="29" t="s">
        <v>212</v>
      </c>
      <c r="P357" s="32"/>
      <c r="Q357" s="14" t="s">
        <v>1222</v>
      </c>
      <c r="R357" s="37"/>
      <c r="S357" s="38"/>
      <c r="T357" s="30"/>
      <c r="U357" s="39"/>
      <c r="V357" s="40"/>
      <c r="W357" s="39"/>
      <c r="X357" s="41"/>
      <c r="Y357" s="9"/>
      <c r="Z357" s="9"/>
      <c r="AA357" s="9"/>
      <c r="AB357" s="7">
        <v>63859</v>
      </c>
      <c r="AC357" s="33"/>
      <c r="AD357" s="33"/>
      <c r="AE357" s="33"/>
      <c r="AF357" s="66">
        <v>46310</v>
      </c>
    </row>
    <row r="358" spans="2:32" x14ac:dyDescent="0.3">
      <c r="B358" s="13">
        <v>46127</v>
      </c>
      <c r="C358" s="70">
        <v>10021025</v>
      </c>
      <c r="D358" s="30" t="s">
        <v>1175</v>
      </c>
      <c r="E358" s="30" t="s">
        <v>1175</v>
      </c>
      <c r="F358" s="65" t="s">
        <v>308</v>
      </c>
      <c r="G358" s="69">
        <v>46154</v>
      </c>
      <c r="H358" s="15" t="s">
        <v>251</v>
      </c>
      <c r="I358" s="15"/>
      <c r="J358" s="29">
        <v>45417</v>
      </c>
      <c r="K358" s="29">
        <v>45987</v>
      </c>
      <c r="L358" s="29" t="s">
        <v>211</v>
      </c>
      <c r="M358" s="29" t="s">
        <v>138</v>
      </c>
      <c r="N358" s="29" t="s">
        <v>23</v>
      </c>
      <c r="O358" s="29" t="s">
        <v>212</v>
      </c>
      <c r="P358" s="32"/>
      <c r="Q358" s="14" t="s">
        <v>1222</v>
      </c>
      <c r="R358" s="37"/>
      <c r="S358" s="38"/>
      <c r="T358" s="30"/>
      <c r="U358" s="39"/>
      <c r="V358" s="40"/>
      <c r="W358" s="39"/>
      <c r="X358" s="41"/>
      <c r="Y358" s="9"/>
      <c r="Z358" s="9"/>
      <c r="AA358" s="9"/>
      <c r="AB358" s="7">
        <v>16395</v>
      </c>
      <c r="AC358" s="33"/>
      <c r="AD358" s="33"/>
      <c r="AE358" s="33"/>
      <c r="AF358" s="66">
        <v>46310</v>
      </c>
    </row>
    <row r="359" spans="2:32" x14ac:dyDescent="0.3">
      <c r="B359" s="13">
        <v>46147</v>
      </c>
      <c r="C359" s="70">
        <v>12896</v>
      </c>
      <c r="D359" s="30">
        <v>8801844275430</v>
      </c>
      <c r="E359" s="30">
        <v>1716850993</v>
      </c>
      <c r="F359" s="65" t="s">
        <v>1239</v>
      </c>
      <c r="G359" s="69">
        <v>46154</v>
      </c>
      <c r="H359" s="15" t="s">
        <v>251</v>
      </c>
      <c r="I359" s="15" t="s">
        <v>1224</v>
      </c>
      <c r="J359" s="29">
        <v>43659</v>
      </c>
      <c r="K359" s="29">
        <v>45776</v>
      </c>
      <c r="L359" s="29" t="s">
        <v>216</v>
      </c>
      <c r="M359" s="29" t="s">
        <v>148</v>
      </c>
      <c r="N359" s="29" t="s">
        <v>23</v>
      </c>
      <c r="O359" s="29" t="s">
        <v>217</v>
      </c>
      <c r="P359" s="32"/>
      <c r="Q359" s="14" t="s">
        <v>1222</v>
      </c>
      <c r="R359" s="37"/>
      <c r="S359" s="38"/>
      <c r="T359" s="30"/>
      <c r="U359" s="39"/>
      <c r="V359" s="40"/>
      <c r="W359" s="39"/>
      <c r="X359" s="41"/>
      <c r="Y359" s="9"/>
      <c r="Z359" s="9"/>
      <c r="AA359" s="9"/>
      <c r="AB359" s="7">
        <v>448275</v>
      </c>
      <c r="AC359" s="33"/>
      <c r="AD359" s="33"/>
      <c r="AE359" s="33"/>
      <c r="AF359" s="66"/>
    </row>
    <row r="360" spans="2:32" x14ac:dyDescent="0.3">
      <c r="B360" s="13">
        <v>46147</v>
      </c>
      <c r="C360" s="70">
        <v>162</v>
      </c>
      <c r="D360" s="30" t="s">
        <v>1280</v>
      </c>
      <c r="E360" s="30" t="s">
        <v>1281</v>
      </c>
      <c r="F360" s="65" t="s">
        <v>1251</v>
      </c>
      <c r="G360" s="69">
        <v>46154</v>
      </c>
      <c r="H360" s="15" t="s">
        <v>251</v>
      </c>
      <c r="I360" s="15" t="s">
        <v>1224</v>
      </c>
      <c r="J360" s="29">
        <v>38510</v>
      </c>
      <c r="K360" s="29">
        <v>45870</v>
      </c>
      <c r="L360" s="29" t="s">
        <v>272</v>
      </c>
      <c r="M360" s="29" t="s">
        <v>161</v>
      </c>
      <c r="N360" s="29" t="s">
        <v>23</v>
      </c>
      <c r="O360" s="29" t="s">
        <v>273</v>
      </c>
      <c r="P360" s="32">
        <v>45292</v>
      </c>
      <c r="Q360" s="14" t="s">
        <v>1222</v>
      </c>
      <c r="R360" s="37"/>
      <c r="S360" s="38"/>
      <c r="T360" s="30"/>
      <c r="U360" s="39"/>
      <c r="V360" s="40"/>
      <c r="W360" s="39"/>
      <c r="X360" s="41"/>
      <c r="Y360" s="9"/>
      <c r="Z360" s="9"/>
      <c r="AA360" s="9"/>
      <c r="AB360" s="7">
        <v>3351994</v>
      </c>
      <c r="AC360" s="33"/>
      <c r="AD360" s="33"/>
      <c r="AE360" s="33"/>
      <c r="AF360" s="66"/>
    </row>
    <row r="361" spans="2:32" x14ac:dyDescent="0.3">
      <c r="B361" s="13">
        <v>46127</v>
      </c>
      <c r="C361" s="70">
        <v>10021900</v>
      </c>
      <c r="D361" s="30" t="s">
        <v>1059</v>
      </c>
      <c r="E361" s="30" t="s">
        <v>1059</v>
      </c>
      <c r="F361" s="65" t="s">
        <v>351</v>
      </c>
      <c r="G361" s="69">
        <v>46155</v>
      </c>
      <c r="H361" s="15" t="s">
        <v>251</v>
      </c>
      <c r="I361" s="15"/>
      <c r="J361" s="29">
        <v>45565</v>
      </c>
      <c r="K361" s="29">
        <v>46023</v>
      </c>
      <c r="L361" s="29" t="s">
        <v>224</v>
      </c>
      <c r="M361" s="29" t="s">
        <v>163</v>
      </c>
      <c r="N361" s="29" t="s">
        <v>71</v>
      </c>
      <c r="O361" s="29" t="s">
        <v>217</v>
      </c>
      <c r="P361" s="32"/>
      <c r="Q361" s="14" t="s">
        <v>1222</v>
      </c>
      <c r="R361" s="37"/>
      <c r="S361" s="38"/>
      <c r="T361" s="30"/>
      <c r="U361" s="39"/>
      <c r="V361" s="40"/>
      <c r="W361" s="39"/>
      <c r="X361" s="41"/>
      <c r="Y361" s="9"/>
      <c r="Z361" s="9"/>
      <c r="AA361" s="9"/>
      <c r="AB361" s="7">
        <v>77008</v>
      </c>
      <c r="AC361" s="33"/>
      <c r="AD361" s="33"/>
      <c r="AE361" s="33"/>
      <c r="AF361" s="66">
        <v>46310</v>
      </c>
    </row>
    <row r="362" spans="2:32" x14ac:dyDescent="0.3">
      <c r="B362" s="13">
        <v>46127</v>
      </c>
      <c r="C362" s="70">
        <v>10016972</v>
      </c>
      <c r="D362" s="30" t="s">
        <v>1132</v>
      </c>
      <c r="E362" s="30" t="s">
        <v>1133</v>
      </c>
      <c r="F362" s="65" t="s">
        <v>971</v>
      </c>
      <c r="G362" s="69">
        <v>46155</v>
      </c>
      <c r="H362" s="15" t="s">
        <v>251</v>
      </c>
      <c r="I362" s="15"/>
      <c r="J362" s="29">
        <v>44709</v>
      </c>
      <c r="K362" s="29">
        <v>45901</v>
      </c>
      <c r="L362" s="29" t="s">
        <v>216</v>
      </c>
      <c r="M362" s="29" t="s">
        <v>191</v>
      </c>
      <c r="N362" s="29" t="s">
        <v>23</v>
      </c>
      <c r="O362" s="29" t="s">
        <v>217</v>
      </c>
      <c r="P362" s="32">
        <v>45689</v>
      </c>
      <c r="Q362" s="14" t="s">
        <v>1222</v>
      </c>
      <c r="R362" s="37"/>
      <c r="S362" s="38"/>
      <c r="T362" s="30"/>
      <c r="U362" s="39"/>
      <c r="V362" s="40"/>
      <c r="W362" s="39"/>
      <c r="X362" s="41"/>
      <c r="Y362" s="9"/>
      <c r="Z362" s="9"/>
      <c r="AA362" s="9"/>
      <c r="AB362" s="7">
        <v>152985</v>
      </c>
      <c r="AC362" s="33"/>
      <c r="AD362" s="33"/>
      <c r="AE362" s="33"/>
      <c r="AF362" s="66">
        <v>46310</v>
      </c>
    </row>
    <row r="363" spans="2:32" x14ac:dyDescent="0.3">
      <c r="B363" s="13">
        <v>46127</v>
      </c>
      <c r="C363" s="70">
        <v>13184</v>
      </c>
      <c r="D363" s="30" t="s">
        <v>1050</v>
      </c>
      <c r="E363" s="30" t="s">
        <v>1051</v>
      </c>
      <c r="F363" s="65" t="s">
        <v>923</v>
      </c>
      <c r="G363" s="69">
        <v>46155</v>
      </c>
      <c r="H363" s="15" t="s">
        <v>251</v>
      </c>
      <c r="I363" s="15"/>
      <c r="J363" s="29">
        <v>43740</v>
      </c>
      <c r="K363" s="29">
        <v>45901</v>
      </c>
      <c r="L363" s="29" t="s">
        <v>219</v>
      </c>
      <c r="M363" s="29" t="s">
        <v>105</v>
      </c>
      <c r="N363" s="29" t="s">
        <v>23</v>
      </c>
      <c r="O363" s="29" t="s">
        <v>214</v>
      </c>
      <c r="P363" s="32">
        <v>44562</v>
      </c>
      <c r="Q363" s="14" t="s">
        <v>1222</v>
      </c>
      <c r="R363" s="37"/>
      <c r="S363" s="38"/>
      <c r="T363" s="30"/>
      <c r="U363" s="39"/>
      <c r="V363" s="40"/>
      <c r="W363" s="39"/>
      <c r="X363" s="41"/>
      <c r="Y363" s="9"/>
      <c r="Z363" s="9"/>
      <c r="AA363" s="9"/>
      <c r="AB363" s="7">
        <v>364855</v>
      </c>
      <c r="AC363" s="33"/>
      <c r="AD363" s="33"/>
      <c r="AE363" s="33"/>
      <c r="AF363" s="66">
        <v>46310</v>
      </c>
    </row>
    <row r="364" spans="2:32" x14ac:dyDescent="0.3">
      <c r="B364" s="13">
        <v>46127</v>
      </c>
      <c r="C364" s="70">
        <v>10023365</v>
      </c>
      <c r="D364" s="30" t="s">
        <v>1108</v>
      </c>
      <c r="E364" s="30" t="s">
        <v>1108</v>
      </c>
      <c r="F364" s="65" t="s">
        <v>324</v>
      </c>
      <c r="G364" s="69">
        <v>46155</v>
      </c>
      <c r="H364" s="15" t="s">
        <v>251</v>
      </c>
      <c r="I364" s="15" t="s">
        <v>1224</v>
      </c>
      <c r="J364" s="29">
        <v>45721</v>
      </c>
      <c r="K364" s="29">
        <v>45809</v>
      </c>
      <c r="L364" s="29" t="s">
        <v>219</v>
      </c>
      <c r="M364" s="29" t="s">
        <v>643</v>
      </c>
      <c r="N364" s="29" t="s">
        <v>23</v>
      </c>
      <c r="O364" s="29" t="s">
        <v>214</v>
      </c>
      <c r="P364" s="32"/>
      <c r="Q364" s="14" t="s">
        <v>1222</v>
      </c>
      <c r="R364" s="37"/>
      <c r="S364" s="38"/>
      <c r="T364" s="30"/>
      <c r="U364" s="39"/>
      <c r="V364" s="40"/>
      <c r="W364" s="39"/>
      <c r="X364" s="41"/>
      <c r="Y364" s="9"/>
      <c r="Z364" s="9"/>
      <c r="AA364" s="9"/>
      <c r="AB364" s="7">
        <v>8202</v>
      </c>
      <c r="AC364" s="33"/>
      <c r="AD364" s="33"/>
      <c r="AE364" s="33"/>
      <c r="AF364" s="66">
        <v>46310</v>
      </c>
    </row>
    <row r="365" spans="2:32" x14ac:dyDescent="0.3">
      <c r="B365" s="13">
        <v>46127</v>
      </c>
      <c r="C365" s="70">
        <v>10900</v>
      </c>
      <c r="D365" s="30" t="s">
        <v>1129</v>
      </c>
      <c r="E365" s="30" t="s">
        <v>1130</v>
      </c>
      <c r="F365" s="65" t="s">
        <v>970</v>
      </c>
      <c r="G365" s="69">
        <v>46155</v>
      </c>
      <c r="H365" s="15" t="s">
        <v>251</v>
      </c>
      <c r="I365" s="15"/>
      <c r="J365" s="29">
        <v>43198</v>
      </c>
      <c r="K365" s="29">
        <v>45781</v>
      </c>
      <c r="L365" s="29" t="s">
        <v>219</v>
      </c>
      <c r="M365" s="29" t="s">
        <v>171</v>
      </c>
      <c r="N365" s="29" t="s">
        <v>22</v>
      </c>
      <c r="O365" s="29" t="s">
        <v>214</v>
      </c>
      <c r="P365" s="32"/>
      <c r="Q365" s="14" t="s">
        <v>1222</v>
      </c>
      <c r="R365" s="37"/>
      <c r="S365" s="38"/>
      <c r="T365" s="30"/>
      <c r="U365" s="39"/>
      <c r="V365" s="40"/>
      <c r="W365" s="39"/>
      <c r="X365" s="41"/>
      <c r="Y365" s="9"/>
      <c r="Z365" s="9"/>
      <c r="AA365" s="9"/>
      <c r="AB365" s="7">
        <v>477572</v>
      </c>
      <c r="AC365" s="33"/>
      <c r="AD365" s="33"/>
      <c r="AE365" s="33"/>
      <c r="AF365" s="66">
        <v>46310</v>
      </c>
    </row>
    <row r="366" spans="2:32" x14ac:dyDescent="0.3">
      <c r="B366" s="13">
        <v>46127</v>
      </c>
      <c r="C366" s="70">
        <v>14366</v>
      </c>
      <c r="D366" s="30" t="s">
        <v>1143</v>
      </c>
      <c r="E366" s="30" t="s">
        <v>1144</v>
      </c>
      <c r="F366" s="65" t="s">
        <v>1015</v>
      </c>
      <c r="G366" s="69">
        <v>46155</v>
      </c>
      <c r="H366" s="15" t="s">
        <v>251</v>
      </c>
      <c r="I366" s="15"/>
      <c r="J366" s="29">
        <v>44067</v>
      </c>
      <c r="K366" s="29">
        <v>45901</v>
      </c>
      <c r="L366" s="29" t="s">
        <v>219</v>
      </c>
      <c r="M366" s="29" t="s">
        <v>184</v>
      </c>
      <c r="N366" s="29" t="s">
        <v>23</v>
      </c>
      <c r="O366" s="29" t="s">
        <v>214</v>
      </c>
      <c r="P366" s="32">
        <v>44927</v>
      </c>
      <c r="Q366" s="14" t="s">
        <v>1222</v>
      </c>
      <c r="R366" s="37"/>
      <c r="S366" s="38"/>
      <c r="T366" s="30"/>
      <c r="U366" s="39"/>
      <c r="V366" s="40"/>
      <c r="W366" s="39"/>
      <c r="X366" s="41"/>
      <c r="Y366" s="9"/>
      <c r="Z366" s="9"/>
      <c r="AA366" s="9"/>
      <c r="AB366" s="7">
        <v>271177</v>
      </c>
      <c r="AC366" s="33"/>
      <c r="AD366" s="33"/>
      <c r="AE366" s="33"/>
      <c r="AF366" s="66">
        <v>46310</v>
      </c>
    </row>
    <row r="367" spans="2:32" x14ac:dyDescent="0.3">
      <c r="B367" s="13">
        <v>46127</v>
      </c>
      <c r="C367" s="70">
        <v>10017407</v>
      </c>
      <c r="D367" s="30" t="s">
        <v>1178</v>
      </c>
      <c r="E367" s="30" t="s">
        <v>1179</v>
      </c>
      <c r="F367" s="65" t="s">
        <v>991</v>
      </c>
      <c r="G367" s="69">
        <v>46155</v>
      </c>
      <c r="H367" s="15" t="s">
        <v>251</v>
      </c>
      <c r="I367" s="15"/>
      <c r="J367" s="29">
        <v>44790</v>
      </c>
      <c r="K367" s="29">
        <v>45839</v>
      </c>
      <c r="L367" s="29" t="s">
        <v>219</v>
      </c>
      <c r="M367" s="29" t="s">
        <v>110</v>
      </c>
      <c r="N367" s="29" t="s">
        <v>23</v>
      </c>
      <c r="O367" s="29" t="s">
        <v>214</v>
      </c>
      <c r="P367" s="32"/>
      <c r="Q367" s="14" t="s">
        <v>1222</v>
      </c>
      <c r="R367" s="37"/>
      <c r="S367" s="38"/>
      <c r="T367" s="30"/>
      <c r="U367" s="39"/>
      <c r="V367" s="40"/>
      <c r="W367" s="39"/>
      <c r="X367" s="41"/>
      <c r="Y367" s="9"/>
      <c r="Z367" s="9"/>
      <c r="AA367" s="9"/>
      <c r="AB367" s="7">
        <v>141353</v>
      </c>
      <c r="AC367" s="33"/>
      <c r="AD367" s="33"/>
      <c r="AE367" s="33"/>
      <c r="AF367" s="66">
        <v>46310</v>
      </c>
    </row>
    <row r="368" spans="2:32" x14ac:dyDescent="0.3">
      <c r="B368" s="13">
        <v>46127</v>
      </c>
      <c r="C368" s="70">
        <v>10019505</v>
      </c>
      <c r="D368" s="30" t="s">
        <v>1064</v>
      </c>
      <c r="E368" s="30" t="s">
        <v>1064</v>
      </c>
      <c r="F368" s="65" t="s">
        <v>929</v>
      </c>
      <c r="G368" s="69">
        <v>46155</v>
      </c>
      <c r="H368" s="15" t="s">
        <v>251</v>
      </c>
      <c r="I368" s="15"/>
      <c r="J368" s="29">
        <v>45181</v>
      </c>
      <c r="K368" s="29">
        <v>45957</v>
      </c>
      <c r="L368" s="29" t="s">
        <v>211</v>
      </c>
      <c r="M368" s="29" t="s">
        <v>145</v>
      </c>
      <c r="N368" s="29" t="s">
        <v>24</v>
      </c>
      <c r="O368" s="29" t="s">
        <v>212</v>
      </c>
      <c r="P368" s="32"/>
      <c r="Q368" s="14" t="s">
        <v>1222</v>
      </c>
      <c r="R368" s="37"/>
      <c r="S368" s="38"/>
      <c r="T368" s="30"/>
      <c r="U368" s="39"/>
      <c r="V368" s="40"/>
      <c r="W368" s="39"/>
      <c r="X368" s="41"/>
      <c r="Y368" s="9"/>
      <c r="Z368" s="9"/>
      <c r="AA368" s="9"/>
      <c r="AB368" s="7">
        <v>63509</v>
      </c>
      <c r="AC368" s="33"/>
      <c r="AD368" s="33"/>
      <c r="AE368" s="33"/>
      <c r="AF368" s="66">
        <v>46310</v>
      </c>
    </row>
    <row r="369" spans="2:32" x14ac:dyDescent="0.3">
      <c r="B369" s="13">
        <v>46127</v>
      </c>
      <c r="C369" s="70">
        <v>10019592</v>
      </c>
      <c r="D369" s="30" t="s">
        <v>1085</v>
      </c>
      <c r="E369" s="30" t="s">
        <v>1085</v>
      </c>
      <c r="F369" s="65" t="s">
        <v>18</v>
      </c>
      <c r="G369" s="69">
        <v>46155</v>
      </c>
      <c r="H369" s="15" t="s">
        <v>251</v>
      </c>
      <c r="I369" s="15"/>
      <c r="J369" s="29">
        <v>45172</v>
      </c>
      <c r="K369" s="29">
        <v>45838</v>
      </c>
      <c r="L369" s="29" t="s">
        <v>211</v>
      </c>
      <c r="M369" s="29" t="s">
        <v>91</v>
      </c>
      <c r="N369" s="29" t="s">
        <v>16</v>
      </c>
      <c r="O369" s="29" t="s">
        <v>212</v>
      </c>
      <c r="P369" s="32"/>
      <c r="Q369" s="14" t="s">
        <v>1222</v>
      </c>
      <c r="R369" s="37"/>
      <c r="S369" s="38"/>
      <c r="T369" s="30"/>
      <c r="U369" s="39"/>
      <c r="V369" s="40"/>
      <c r="W369" s="39"/>
      <c r="X369" s="41"/>
      <c r="Y369" s="9"/>
      <c r="Z369" s="9"/>
      <c r="AA369" s="9"/>
      <c r="AB369" s="7">
        <v>33015</v>
      </c>
      <c r="AC369" s="33"/>
      <c r="AD369" s="33"/>
      <c r="AE369" s="33"/>
      <c r="AF369" s="66">
        <v>46310</v>
      </c>
    </row>
    <row r="370" spans="2:32" x14ac:dyDescent="0.3">
      <c r="B370" s="13">
        <v>46127</v>
      </c>
      <c r="C370" s="70">
        <v>10020651</v>
      </c>
      <c r="D370" s="30" t="s">
        <v>1086</v>
      </c>
      <c r="E370" s="30" t="s">
        <v>1086</v>
      </c>
      <c r="F370" s="65" t="s">
        <v>944</v>
      </c>
      <c r="G370" s="69">
        <v>46155</v>
      </c>
      <c r="H370" s="15" t="s">
        <v>251</v>
      </c>
      <c r="I370" s="15"/>
      <c r="J370" s="29">
        <v>45350</v>
      </c>
      <c r="K370" s="29">
        <v>45931</v>
      </c>
      <c r="L370" s="29" t="s">
        <v>211</v>
      </c>
      <c r="M370" s="29" t="s">
        <v>167</v>
      </c>
      <c r="N370" s="29" t="s">
        <v>24</v>
      </c>
      <c r="O370" s="29" t="s">
        <v>212</v>
      </c>
      <c r="P370" s="32"/>
      <c r="Q370" s="14" t="s">
        <v>1222</v>
      </c>
      <c r="R370" s="37"/>
      <c r="S370" s="38"/>
      <c r="T370" s="30"/>
      <c r="U370" s="39"/>
      <c r="V370" s="40"/>
      <c r="W370" s="39"/>
      <c r="X370" s="41"/>
      <c r="Y370" s="9"/>
      <c r="Z370" s="9"/>
      <c r="AA370" s="9"/>
      <c r="AB370" s="7">
        <v>35055</v>
      </c>
      <c r="AC370" s="33"/>
      <c r="AD370" s="33"/>
      <c r="AE370" s="33"/>
      <c r="AF370" s="66">
        <v>46310</v>
      </c>
    </row>
    <row r="371" spans="2:32" x14ac:dyDescent="0.3">
      <c r="B371" s="13">
        <v>46127</v>
      </c>
      <c r="C371" s="70">
        <v>10023448</v>
      </c>
      <c r="D371" s="30" t="s">
        <v>1111</v>
      </c>
      <c r="E371" s="30" t="s">
        <v>1111</v>
      </c>
      <c r="F371" s="65" t="s">
        <v>1006</v>
      </c>
      <c r="G371" s="69">
        <v>46155</v>
      </c>
      <c r="H371" s="15" t="s">
        <v>251</v>
      </c>
      <c r="I371" s="15" t="s">
        <v>1224</v>
      </c>
      <c r="J371" s="29">
        <v>45750</v>
      </c>
      <c r="K371" s="29">
        <v>45940</v>
      </c>
      <c r="L371" s="29" t="s">
        <v>211</v>
      </c>
      <c r="M371" s="29" t="s">
        <v>173</v>
      </c>
      <c r="N371" s="29" t="s">
        <v>16</v>
      </c>
      <c r="O371" s="29" t="s">
        <v>212</v>
      </c>
      <c r="P371" s="32"/>
      <c r="Q371" s="14" t="s">
        <v>1222</v>
      </c>
      <c r="R371" s="37"/>
      <c r="S371" s="38"/>
      <c r="T371" s="30"/>
      <c r="U371" s="39"/>
      <c r="V371" s="40"/>
      <c r="W371" s="39"/>
      <c r="X371" s="41"/>
      <c r="Y371" s="9"/>
      <c r="Z371" s="9"/>
      <c r="AA371" s="9"/>
      <c r="AB371" s="7">
        <v>7285</v>
      </c>
      <c r="AC371" s="33"/>
      <c r="AD371" s="33"/>
      <c r="AE371" s="33"/>
      <c r="AF371" s="66">
        <v>46310</v>
      </c>
    </row>
    <row r="372" spans="2:32" x14ac:dyDescent="0.3">
      <c r="B372" s="13">
        <v>46127</v>
      </c>
      <c r="C372" s="70">
        <v>10019132</v>
      </c>
      <c r="D372" s="30" t="s">
        <v>1158</v>
      </c>
      <c r="E372" s="30" t="s">
        <v>1158</v>
      </c>
      <c r="F372" s="65" t="s">
        <v>1019</v>
      </c>
      <c r="G372" s="69">
        <v>46155</v>
      </c>
      <c r="H372" s="15" t="s">
        <v>251</v>
      </c>
      <c r="I372" s="15"/>
      <c r="J372" s="29">
        <v>45115</v>
      </c>
      <c r="K372" s="29">
        <v>45901</v>
      </c>
      <c r="L372" s="29" t="s">
        <v>211</v>
      </c>
      <c r="M372" s="29" t="s">
        <v>183</v>
      </c>
      <c r="N372" s="29" t="s">
        <v>23</v>
      </c>
      <c r="O372" s="29" t="s">
        <v>212</v>
      </c>
      <c r="P372" s="32"/>
      <c r="Q372" s="14" t="s">
        <v>1222</v>
      </c>
      <c r="R372" s="37"/>
      <c r="S372" s="38"/>
      <c r="T372" s="30"/>
      <c r="U372" s="39"/>
      <c r="V372" s="40"/>
      <c r="W372" s="39"/>
      <c r="X372" s="41"/>
      <c r="Y372" s="9"/>
      <c r="Z372" s="9"/>
      <c r="AA372" s="9"/>
      <c r="AB372" s="7">
        <v>57973</v>
      </c>
      <c r="AC372" s="33"/>
      <c r="AD372" s="33"/>
      <c r="AE372" s="33"/>
      <c r="AF372" s="66">
        <v>46310</v>
      </c>
    </row>
    <row r="373" spans="2:32" x14ac:dyDescent="0.3">
      <c r="B373" s="13">
        <v>46127</v>
      </c>
      <c r="C373" s="70">
        <v>10016601</v>
      </c>
      <c r="D373" s="30" t="s">
        <v>1159</v>
      </c>
      <c r="E373" s="30" t="s">
        <v>1160</v>
      </c>
      <c r="F373" s="65" t="s">
        <v>983</v>
      </c>
      <c r="G373" s="69">
        <v>46155</v>
      </c>
      <c r="H373" s="15" t="s">
        <v>251</v>
      </c>
      <c r="I373" s="15"/>
      <c r="J373" s="29">
        <v>44623</v>
      </c>
      <c r="K373" s="29">
        <v>45597</v>
      </c>
      <c r="L373" s="29" t="s">
        <v>211</v>
      </c>
      <c r="M373" s="29" t="s">
        <v>138</v>
      </c>
      <c r="N373" s="29" t="s">
        <v>23</v>
      </c>
      <c r="O373" s="29" t="s">
        <v>212</v>
      </c>
      <c r="P373" s="32"/>
      <c r="Q373" s="14" t="s">
        <v>1222</v>
      </c>
      <c r="R373" s="37"/>
      <c r="S373" s="38"/>
      <c r="T373" s="30"/>
      <c r="U373" s="39"/>
      <c r="V373" s="40"/>
      <c r="W373" s="39"/>
      <c r="X373" s="41"/>
      <c r="Y373" s="9"/>
      <c r="Z373" s="9"/>
      <c r="AA373" s="9"/>
      <c r="AB373" s="7">
        <v>68293</v>
      </c>
      <c r="AC373" s="33"/>
      <c r="AD373" s="33"/>
      <c r="AE373" s="33"/>
      <c r="AF373" s="66">
        <v>46310</v>
      </c>
    </row>
    <row r="374" spans="2:32" x14ac:dyDescent="0.3">
      <c r="B374" s="13">
        <v>46127</v>
      </c>
      <c r="C374" s="70">
        <v>10019539</v>
      </c>
      <c r="D374" s="61">
        <v>8801777099939</v>
      </c>
      <c r="E374" s="61">
        <v>8801777099939</v>
      </c>
      <c r="F374" s="65" t="s">
        <v>984</v>
      </c>
      <c r="G374" s="69">
        <v>46155</v>
      </c>
      <c r="H374" s="15" t="s">
        <v>251</v>
      </c>
      <c r="I374" s="15" t="s">
        <v>1224</v>
      </c>
      <c r="J374" s="29">
        <v>45181</v>
      </c>
      <c r="K374" s="29">
        <v>45839</v>
      </c>
      <c r="L374" s="29" t="s">
        <v>211</v>
      </c>
      <c r="M374" s="29" t="s">
        <v>67</v>
      </c>
      <c r="N374" s="29" t="s">
        <v>24</v>
      </c>
      <c r="O374" s="29" t="s">
        <v>212</v>
      </c>
      <c r="P374" s="32"/>
      <c r="Q374" s="14" t="s">
        <v>1222</v>
      </c>
      <c r="R374" s="37"/>
      <c r="S374" s="38"/>
      <c r="T374" s="30"/>
      <c r="U374" s="39"/>
      <c r="V374" s="40"/>
      <c r="W374" s="39"/>
      <c r="X374" s="41"/>
      <c r="Y374" s="9"/>
      <c r="Z374" s="9"/>
      <c r="AA374" s="9"/>
      <c r="AB374" s="7">
        <v>53157</v>
      </c>
      <c r="AC374" s="33"/>
      <c r="AD374" s="33"/>
      <c r="AE374" s="33"/>
      <c r="AF374" s="66">
        <v>46310</v>
      </c>
    </row>
    <row r="375" spans="2:32" x14ac:dyDescent="0.3">
      <c r="B375" s="13">
        <v>46127</v>
      </c>
      <c r="C375" s="70">
        <v>10017021</v>
      </c>
      <c r="D375" s="30" t="s">
        <v>1173</v>
      </c>
      <c r="E375" s="30" t="s">
        <v>1173</v>
      </c>
      <c r="F375" s="65" t="s">
        <v>988</v>
      </c>
      <c r="G375" s="69">
        <v>46155</v>
      </c>
      <c r="H375" s="15" t="s">
        <v>251</v>
      </c>
      <c r="I375" s="15"/>
      <c r="J375" s="29">
        <v>44725</v>
      </c>
      <c r="K375" s="29">
        <v>44927</v>
      </c>
      <c r="L375" s="29" t="s">
        <v>211</v>
      </c>
      <c r="M375" s="29" t="s">
        <v>109</v>
      </c>
      <c r="N375" s="29" t="s">
        <v>23</v>
      </c>
      <c r="O375" s="29" t="s">
        <v>212</v>
      </c>
      <c r="P375" s="32"/>
      <c r="Q375" s="14" t="s">
        <v>1222</v>
      </c>
      <c r="R375" s="37"/>
      <c r="S375" s="38"/>
      <c r="T375" s="30"/>
      <c r="U375" s="39"/>
      <c r="V375" s="40"/>
      <c r="W375" s="39"/>
      <c r="X375" s="41"/>
      <c r="Y375" s="9"/>
      <c r="Z375" s="9"/>
      <c r="AA375" s="9"/>
      <c r="AB375" s="7">
        <v>8596</v>
      </c>
      <c r="AC375" s="33"/>
      <c r="AD375" s="33"/>
      <c r="AE375" s="33"/>
      <c r="AF375" s="66">
        <v>46310</v>
      </c>
    </row>
    <row r="376" spans="2:32" x14ac:dyDescent="0.3">
      <c r="B376" s="13">
        <v>46127</v>
      </c>
      <c r="C376" s="70">
        <v>10016681</v>
      </c>
      <c r="D376" s="30" t="s">
        <v>1081</v>
      </c>
      <c r="E376" s="30" t="s">
        <v>72</v>
      </c>
      <c r="F376" s="65" t="s">
        <v>941</v>
      </c>
      <c r="G376" s="69">
        <v>46155</v>
      </c>
      <c r="H376" s="15" t="s">
        <v>251</v>
      </c>
      <c r="I376" s="15"/>
      <c r="J376" s="29">
        <v>44621</v>
      </c>
      <c r="K376" s="29">
        <v>45778</v>
      </c>
      <c r="L376" s="29" t="s">
        <v>226</v>
      </c>
      <c r="M376" s="29" t="s">
        <v>113</v>
      </c>
      <c r="N376" s="29" t="s">
        <v>17</v>
      </c>
      <c r="O376" s="29" t="s">
        <v>221</v>
      </c>
      <c r="P376" s="32"/>
      <c r="Q376" s="14" t="s">
        <v>1222</v>
      </c>
      <c r="R376" s="37"/>
      <c r="S376" s="38"/>
      <c r="T376" s="30"/>
      <c r="U376" s="39"/>
      <c r="V376" s="40"/>
      <c r="W376" s="39"/>
      <c r="X376" s="41"/>
      <c r="Y376" s="9"/>
      <c r="Z376" s="9"/>
      <c r="AA376" s="9"/>
      <c r="AB376" s="7">
        <v>70123</v>
      </c>
      <c r="AC376" s="33"/>
      <c r="AD376" s="33"/>
      <c r="AE376" s="33"/>
      <c r="AF376" s="66">
        <v>46310</v>
      </c>
    </row>
    <row r="377" spans="2:32" x14ac:dyDescent="0.3">
      <c r="B377" s="13">
        <v>46127</v>
      </c>
      <c r="C377" s="70">
        <v>10016676</v>
      </c>
      <c r="D377" s="30" t="s">
        <v>1164</v>
      </c>
      <c r="E377" s="30" t="s">
        <v>1164</v>
      </c>
      <c r="F377" s="65" t="s">
        <v>986</v>
      </c>
      <c r="G377" s="69">
        <v>46155</v>
      </c>
      <c r="H377" s="15" t="s">
        <v>251</v>
      </c>
      <c r="I377" s="15"/>
      <c r="J377" s="29">
        <v>44621</v>
      </c>
      <c r="K377" s="29">
        <v>45870</v>
      </c>
      <c r="L377" s="29" t="s">
        <v>226</v>
      </c>
      <c r="M377" s="29" t="s">
        <v>149</v>
      </c>
      <c r="N377" s="29" t="s">
        <v>40</v>
      </c>
      <c r="O377" s="29" t="s">
        <v>221</v>
      </c>
      <c r="P377" s="32"/>
      <c r="Q377" s="14" t="s">
        <v>1222</v>
      </c>
      <c r="R377" s="37"/>
      <c r="S377" s="38"/>
      <c r="T377" s="30"/>
      <c r="U377" s="39"/>
      <c r="V377" s="40"/>
      <c r="W377" s="39"/>
      <c r="X377" s="41"/>
      <c r="Y377" s="9"/>
      <c r="Z377" s="9"/>
      <c r="AA377" s="9"/>
      <c r="AB377" s="7">
        <v>73235</v>
      </c>
      <c r="AC377" s="33"/>
      <c r="AD377" s="33"/>
      <c r="AE377" s="33"/>
      <c r="AF377" s="66">
        <v>46310</v>
      </c>
    </row>
    <row r="378" spans="2:32" x14ac:dyDescent="0.3">
      <c r="B378" s="13">
        <v>46147</v>
      </c>
      <c r="C378" s="70">
        <v>10017400</v>
      </c>
      <c r="D378" s="30">
        <v>8801894929729</v>
      </c>
      <c r="E378" s="30">
        <v>1721053813</v>
      </c>
      <c r="F378" s="65" t="s">
        <v>350</v>
      </c>
      <c r="G378" s="69">
        <v>46155</v>
      </c>
      <c r="H378" s="15" t="s">
        <v>251</v>
      </c>
      <c r="I378" s="15" t="s">
        <v>1224</v>
      </c>
      <c r="J378" s="29">
        <v>44787</v>
      </c>
      <c r="K378" s="29">
        <v>45488</v>
      </c>
      <c r="L378" s="29" t="s">
        <v>213</v>
      </c>
      <c r="M378" s="29" t="s">
        <v>100</v>
      </c>
      <c r="N378" s="29" t="s">
        <v>23</v>
      </c>
      <c r="O378" s="29" t="s">
        <v>214</v>
      </c>
      <c r="P378" s="32">
        <v>45292</v>
      </c>
      <c r="Q378" s="14" t="s">
        <v>1222</v>
      </c>
      <c r="R378" s="37"/>
      <c r="S378" s="38"/>
      <c r="T378" s="30"/>
      <c r="U378" s="39"/>
      <c r="V378" s="40"/>
      <c r="W378" s="39"/>
      <c r="X378" s="41"/>
      <c r="Y378" s="9"/>
      <c r="Z378" s="9"/>
      <c r="AA378" s="9"/>
      <c r="AB378" s="7">
        <v>97281</v>
      </c>
      <c r="AC378" s="33"/>
      <c r="AD378" s="33"/>
      <c r="AE378" s="33"/>
      <c r="AF378" s="66">
        <v>46331</v>
      </c>
    </row>
    <row r="379" spans="2:32" x14ac:dyDescent="0.3">
      <c r="B379" s="13">
        <v>46147</v>
      </c>
      <c r="C379" s="70">
        <v>10021529</v>
      </c>
      <c r="D379" s="30">
        <v>8801728704884</v>
      </c>
      <c r="E379" s="30">
        <v>1516778472</v>
      </c>
      <c r="F379" s="65" t="s">
        <v>1252</v>
      </c>
      <c r="G379" s="69">
        <v>46155</v>
      </c>
      <c r="H379" s="15" t="s">
        <v>251</v>
      </c>
      <c r="I379" s="15" t="s">
        <v>1224</v>
      </c>
      <c r="J379" s="29">
        <v>45516</v>
      </c>
      <c r="K379" s="29">
        <v>46068</v>
      </c>
      <c r="L379" s="29" t="s">
        <v>224</v>
      </c>
      <c r="M379" s="29" t="s">
        <v>159</v>
      </c>
      <c r="N379" s="29" t="s">
        <v>314</v>
      </c>
      <c r="O379" s="29" t="s">
        <v>217</v>
      </c>
      <c r="P379" s="32"/>
      <c r="Q379" s="14" t="s">
        <v>1222</v>
      </c>
      <c r="R379" s="37"/>
      <c r="S379" s="38"/>
      <c r="T379" s="30"/>
      <c r="U379" s="39"/>
      <c r="V379" s="40"/>
      <c r="W379" s="39"/>
      <c r="X379" s="41"/>
      <c r="Y379" s="9"/>
      <c r="Z379" s="9"/>
      <c r="AA379" s="9"/>
      <c r="AB379" s="7">
        <v>81543</v>
      </c>
      <c r="AC379" s="33"/>
      <c r="AD379" s="33"/>
      <c r="AE379" s="33"/>
      <c r="AF379" s="66">
        <v>46331</v>
      </c>
    </row>
    <row r="380" spans="2:32" x14ac:dyDescent="0.3">
      <c r="B380" s="13">
        <v>46127</v>
      </c>
      <c r="C380" s="70">
        <v>10018978</v>
      </c>
      <c r="D380" s="30" t="s">
        <v>1162</v>
      </c>
      <c r="E380" s="30" t="s">
        <v>1162</v>
      </c>
      <c r="F380" s="65" t="s">
        <v>1021</v>
      </c>
      <c r="G380" s="69">
        <v>46156</v>
      </c>
      <c r="H380" s="15" t="s">
        <v>251</v>
      </c>
      <c r="I380" s="15"/>
      <c r="J380" s="29">
        <v>45071</v>
      </c>
      <c r="K380" s="29">
        <v>45910</v>
      </c>
      <c r="L380" s="29" t="s">
        <v>219</v>
      </c>
      <c r="M380" s="29" t="s">
        <v>91</v>
      </c>
      <c r="N380" s="29" t="s">
        <v>16</v>
      </c>
      <c r="O380" s="29" t="s">
        <v>214</v>
      </c>
      <c r="P380" s="32"/>
      <c r="Q380" s="14" t="s">
        <v>1222</v>
      </c>
      <c r="R380" s="37"/>
      <c r="S380" s="38"/>
      <c r="T380" s="30"/>
      <c r="U380" s="39"/>
      <c r="V380" s="40"/>
      <c r="W380" s="39"/>
      <c r="X380" s="41"/>
      <c r="Y380" s="9"/>
      <c r="Z380" s="9"/>
      <c r="AA380" s="9"/>
      <c r="AB380" s="7">
        <v>60584</v>
      </c>
      <c r="AC380" s="33"/>
      <c r="AD380" s="33"/>
      <c r="AE380" s="33"/>
      <c r="AF380" s="66">
        <v>46310</v>
      </c>
    </row>
    <row r="381" spans="2:32" x14ac:dyDescent="0.3">
      <c r="B381" s="13">
        <v>46127</v>
      </c>
      <c r="C381" s="70">
        <v>10017335</v>
      </c>
      <c r="D381" s="30" t="s">
        <v>1072</v>
      </c>
      <c r="E381" s="30" t="s">
        <v>1073</v>
      </c>
      <c r="F381" s="65" t="s">
        <v>935</v>
      </c>
      <c r="G381" s="69">
        <v>46156</v>
      </c>
      <c r="H381" s="15" t="s">
        <v>251</v>
      </c>
      <c r="I381" s="15"/>
      <c r="J381" s="29">
        <v>44780</v>
      </c>
      <c r="K381" s="29">
        <v>45292</v>
      </c>
      <c r="L381" s="29" t="s">
        <v>211</v>
      </c>
      <c r="M381" s="29" t="s">
        <v>138</v>
      </c>
      <c r="N381" s="29" t="s">
        <v>23</v>
      </c>
      <c r="O381" s="29" t="s">
        <v>212</v>
      </c>
      <c r="P381" s="32"/>
      <c r="Q381" s="14" t="s">
        <v>1222</v>
      </c>
      <c r="R381" s="37"/>
      <c r="S381" s="38"/>
      <c r="T381" s="30"/>
      <c r="U381" s="39"/>
      <c r="V381" s="40"/>
      <c r="W381" s="39"/>
      <c r="X381" s="41"/>
      <c r="Y381" s="9"/>
      <c r="Z381" s="9"/>
      <c r="AA381" s="9"/>
      <c r="AB381" s="7">
        <v>36454</v>
      </c>
      <c r="AC381" s="33"/>
      <c r="AD381" s="33"/>
      <c r="AE381" s="33"/>
      <c r="AF381" s="66">
        <v>46310</v>
      </c>
    </row>
    <row r="382" spans="2:32" x14ac:dyDescent="0.3">
      <c r="B382" s="13">
        <v>46127</v>
      </c>
      <c r="C382" s="70">
        <v>15353</v>
      </c>
      <c r="D382" s="30" t="s">
        <v>1152</v>
      </c>
      <c r="E382" s="30" t="s">
        <v>1153</v>
      </c>
      <c r="F382" s="65" t="s">
        <v>1016</v>
      </c>
      <c r="G382" s="69">
        <v>46156</v>
      </c>
      <c r="H382" s="15" t="s">
        <v>251</v>
      </c>
      <c r="I382" s="15"/>
      <c r="J382" s="29">
        <v>44317</v>
      </c>
      <c r="K382" s="29">
        <v>45901</v>
      </c>
      <c r="L382" s="29" t="s">
        <v>211</v>
      </c>
      <c r="M382" s="29" t="s">
        <v>161</v>
      </c>
      <c r="N382" s="29" t="s">
        <v>23</v>
      </c>
      <c r="O382" s="29" t="s">
        <v>212</v>
      </c>
      <c r="P382" s="32"/>
      <c r="Q382" s="14" t="s">
        <v>1222</v>
      </c>
      <c r="R382" s="37"/>
      <c r="S382" s="38"/>
      <c r="T382" s="30"/>
      <c r="U382" s="39"/>
      <c r="V382" s="40"/>
      <c r="W382" s="39"/>
      <c r="X382" s="41"/>
      <c r="Y382" s="9"/>
      <c r="Z382" s="9"/>
      <c r="AA382" s="9"/>
      <c r="AB382" s="7">
        <v>154875</v>
      </c>
      <c r="AC382" s="33"/>
      <c r="AD382" s="33"/>
      <c r="AE382" s="33"/>
      <c r="AF382" s="66">
        <v>46310</v>
      </c>
    </row>
    <row r="383" spans="2:32" x14ac:dyDescent="0.3">
      <c r="B383" s="13">
        <v>46127</v>
      </c>
      <c r="C383" s="70">
        <v>10021834</v>
      </c>
      <c r="D383" s="30" t="s">
        <v>1116</v>
      </c>
      <c r="E383" s="30" t="s">
        <v>1116</v>
      </c>
      <c r="F383" s="65" t="s">
        <v>1333</v>
      </c>
      <c r="G383" s="69">
        <v>46156</v>
      </c>
      <c r="H383" s="15" t="s">
        <v>251</v>
      </c>
      <c r="I383" s="15" t="s">
        <v>1224</v>
      </c>
      <c r="J383" s="29">
        <v>45536</v>
      </c>
      <c r="K383" s="29">
        <v>45721</v>
      </c>
      <c r="L383" s="29" t="s">
        <v>220</v>
      </c>
      <c r="M383" s="29" t="s">
        <v>162</v>
      </c>
      <c r="N383" s="29" t="s">
        <v>17</v>
      </c>
      <c r="O383" s="29" t="s">
        <v>221</v>
      </c>
      <c r="P383" s="32"/>
      <c r="Q383" s="14" t="s">
        <v>1222</v>
      </c>
      <c r="R383" s="37"/>
      <c r="S383" s="38"/>
      <c r="T383" s="30"/>
      <c r="U383" s="39"/>
      <c r="V383" s="40"/>
      <c r="W383" s="39"/>
      <c r="X383" s="41"/>
      <c r="Y383" s="9"/>
      <c r="Z383" s="9"/>
      <c r="AA383" s="9"/>
      <c r="AB383" s="7">
        <v>3266</v>
      </c>
      <c r="AC383" s="33"/>
      <c r="AD383" s="33"/>
      <c r="AE383" s="33"/>
      <c r="AF383" s="66">
        <v>46310</v>
      </c>
    </row>
    <row r="384" spans="2:32" x14ac:dyDescent="0.3">
      <c r="B384" s="13">
        <v>46127</v>
      </c>
      <c r="C384" s="70">
        <v>20016182</v>
      </c>
      <c r="D384" s="61">
        <v>1780671052</v>
      </c>
      <c r="E384" s="61">
        <v>1780671052</v>
      </c>
      <c r="F384" s="65" t="s">
        <v>1028</v>
      </c>
      <c r="G384" s="69">
        <v>46156</v>
      </c>
      <c r="H384" s="15" t="s">
        <v>251</v>
      </c>
      <c r="I384" s="15" t="s">
        <v>1224</v>
      </c>
      <c r="J384" s="29">
        <v>45107</v>
      </c>
      <c r="K384" s="29">
        <v>45882</v>
      </c>
      <c r="L384" s="29" t="s">
        <v>312</v>
      </c>
      <c r="M384" s="29" t="s">
        <v>274</v>
      </c>
      <c r="N384" s="29" t="s">
        <v>17</v>
      </c>
      <c r="O384" s="29" t="s">
        <v>221</v>
      </c>
      <c r="P384" s="32"/>
      <c r="Q384" s="14" t="s">
        <v>1222</v>
      </c>
      <c r="R384" s="37"/>
      <c r="S384" s="38"/>
      <c r="T384" s="30"/>
      <c r="U384" s="39"/>
      <c r="V384" s="40"/>
      <c r="W384" s="39"/>
      <c r="X384" s="41"/>
      <c r="Y384" s="9"/>
      <c r="Z384" s="9"/>
      <c r="AA384" s="9"/>
      <c r="AB384" s="7">
        <v>14676</v>
      </c>
      <c r="AC384" s="33"/>
      <c r="AD384" s="33"/>
      <c r="AE384" s="33"/>
      <c r="AF384" s="66">
        <v>46310</v>
      </c>
    </row>
    <row r="385" spans="2:32" x14ac:dyDescent="0.3">
      <c r="B385" s="13">
        <v>46147</v>
      </c>
      <c r="C385" s="70">
        <v>2267</v>
      </c>
      <c r="D385" s="30" t="s">
        <v>1270</v>
      </c>
      <c r="E385" s="30" t="s">
        <v>1271</v>
      </c>
      <c r="F385" s="65" t="s">
        <v>1292</v>
      </c>
      <c r="G385" s="69">
        <v>46156</v>
      </c>
      <c r="H385" s="15" t="s">
        <v>251</v>
      </c>
      <c r="I385" s="15"/>
      <c r="J385" s="29">
        <v>39814</v>
      </c>
      <c r="K385" s="29">
        <v>46046</v>
      </c>
      <c r="L385" s="29" t="s">
        <v>1265</v>
      </c>
      <c r="M385" s="29" t="s">
        <v>170</v>
      </c>
      <c r="N385" s="29" t="s">
        <v>17</v>
      </c>
      <c r="O385" s="29" t="s">
        <v>233</v>
      </c>
      <c r="P385" s="32">
        <v>46023</v>
      </c>
      <c r="Q385" s="14" t="s">
        <v>1222</v>
      </c>
      <c r="R385" s="37"/>
      <c r="S385" s="38"/>
      <c r="T385" s="30"/>
      <c r="U385" s="39"/>
      <c r="V385" s="40"/>
      <c r="W385" s="39"/>
      <c r="X385" s="41"/>
      <c r="Y385" s="9"/>
      <c r="Z385" s="9"/>
      <c r="AA385" s="9"/>
      <c r="AB385" s="7">
        <v>2054213</v>
      </c>
      <c r="AC385" s="33"/>
      <c r="AD385" s="33"/>
      <c r="AE385" s="33"/>
      <c r="AF385" s="66">
        <v>46331</v>
      </c>
    </row>
    <row r="386" spans="2:32" x14ac:dyDescent="0.3">
      <c r="B386" s="13">
        <v>46147</v>
      </c>
      <c r="C386" s="70">
        <v>13835</v>
      </c>
      <c r="D386" s="30" t="s">
        <v>1276</v>
      </c>
      <c r="E386" s="30" t="s">
        <v>1276</v>
      </c>
      <c r="F386" s="65" t="s">
        <v>1234</v>
      </c>
      <c r="G386" s="69">
        <v>46156</v>
      </c>
      <c r="H386" s="15" t="s">
        <v>251</v>
      </c>
      <c r="I386" s="15"/>
      <c r="J386" s="29">
        <v>43862</v>
      </c>
      <c r="K386" s="29">
        <v>46022</v>
      </c>
      <c r="L386" s="29" t="s">
        <v>676</v>
      </c>
      <c r="M386" s="29" t="s">
        <v>279</v>
      </c>
      <c r="N386" s="29" t="s">
        <v>26</v>
      </c>
      <c r="O386" s="29" t="s">
        <v>227</v>
      </c>
      <c r="P386" s="32">
        <v>44562</v>
      </c>
      <c r="Q386" s="14" t="s">
        <v>1222</v>
      </c>
      <c r="R386" s="37"/>
      <c r="S386" s="38"/>
      <c r="T386" s="30"/>
      <c r="U386" s="39"/>
      <c r="V386" s="40"/>
      <c r="W386" s="39"/>
      <c r="X386" s="41"/>
      <c r="Y386" s="9"/>
      <c r="Z386" s="9"/>
      <c r="AA386" s="9"/>
      <c r="AB386" s="7">
        <v>215287</v>
      </c>
      <c r="AC386" s="33"/>
      <c r="AD386" s="33"/>
      <c r="AE386" s="33"/>
      <c r="AF386" s="66">
        <v>46331</v>
      </c>
    </row>
    <row r="387" spans="2:32" x14ac:dyDescent="0.3">
      <c r="B387" s="13">
        <v>46147</v>
      </c>
      <c r="C387" s="70">
        <v>8218</v>
      </c>
      <c r="D387" s="30" t="s">
        <v>1282</v>
      </c>
      <c r="E387" s="30" t="s">
        <v>1283</v>
      </c>
      <c r="F387" s="65" t="s">
        <v>1293</v>
      </c>
      <c r="G387" s="69">
        <v>46156</v>
      </c>
      <c r="H387" s="15" t="s">
        <v>251</v>
      </c>
      <c r="I387" s="15"/>
      <c r="J387" s="29">
        <v>42461</v>
      </c>
      <c r="K387" s="29">
        <v>46041</v>
      </c>
      <c r="L387" s="29" t="s">
        <v>675</v>
      </c>
      <c r="M387" s="29" t="s">
        <v>301</v>
      </c>
      <c r="N387" s="29" t="s">
        <v>17</v>
      </c>
      <c r="O387" s="29" t="s">
        <v>229</v>
      </c>
      <c r="P387" s="32">
        <v>44562</v>
      </c>
      <c r="Q387" s="14" t="s">
        <v>1222</v>
      </c>
      <c r="R387" s="37"/>
      <c r="S387" s="38"/>
      <c r="T387" s="30"/>
      <c r="U387" s="39"/>
      <c r="V387" s="40"/>
      <c r="W387" s="39"/>
      <c r="X387" s="41"/>
      <c r="Y387" s="9"/>
      <c r="Z387" s="9"/>
      <c r="AA387" s="9"/>
      <c r="AB387" s="7">
        <v>1557512</v>
      </c>
      <c r="AC387" s="33"/>
      <c r="AD387" s="33"/>
      <c r="AE387" s="33"/>
      <c r="AF387" s="66">
        <v>46331</v>
      </c>
    </row>
    <row r="388" spans="2:32" x14ac:dyDescent="0.3">
      <c r="B388" s="13">
        <v>46127</v>
      </c>
      <c r="C388" s="70">
        <v>6446</v>
      </c>
      <c r="D388" s="30" t="s">
        <v>1126</v>
      </c>
      <c r="E388" s="30" t="s">
        <v>1127</v>
      </c>
      <c r="F388" s="65" t="s">
        <v>968</v>
      </c>
      <c r="G388" s="69">
        <v>46159</v>
      </c>
      <c r="H388" s="15" t="s">
        <v>251</v>
      </c>
      <c r="I388" s="15"/>
      <c r="J388" s="29">
        <v>41944</v>
      </c>
      <c r="K388" s="29">
        <v>45931</v>
      </c>
      <c r="L388" s="29" t="s">
        <v>219</v>
      </c>
      <c r="M388" s="29" t="s">
        <v>103</v>
      </c>
      <c r="N388" s="29" t="s">
        <v>23</v>
      </c>
      <c r="O388" s="29" t="s">
        <v>214</v>
      </c>
      <c r="P388" s="32"/>
      <c r="Q388" s="14" t="s">
        <v>1222</v>
      </c>
      <c r="R388" s="37"/>
      <c r="S388" s="38"/>
      <c r="T388" s="30"/>
      <c r="U388" s="39"/>
      <c r="V388" s="40"/>
      <c r="W388" s="39"/>
      <c r="X388" s="41"/>
      <c r="Y388" s="9"/>
      <c r="Z388" s="9"/>
      <c r="AA388" s="9"/>
      <c r="AB388" s="7">
        <v>872786</v>
      </c>
      <c r="AC388" s="33"/>
      <c r="AD388" s="33"/>
      <c r="AE388" s="33"/>
      <c r="AF388" s="66">
        <v>46310</v>
      </c>
    </row>
    <row r="389" spans="2:32" x14ac:dyDescent="0.3">
      <c r="B389" s="13">
        <v>46127</v>
      </c>
      <c r="C389" s="70">
        <v>10017915</v>
      </c>
      <c r="D389" s="30" t="s">
        <v>1057</v>
      </c>
      <c r="E389" s="30" t="s">
        <v>1058</v>
      </c>
      <c r="F389" s="65" t="s">
        <v>292</v>
      </c>
      <c r="G389" s="69">
        <v>46159</v>
      </c>
      <c r="H389" s="15" t="s">
        <v>251</v>
      </c>
      <c r="I389" s="15"/>
      <c r="J389" s="29">
        <v>44875</v>
      </c>
      <c r="K389" s="29">
        <v>45870</v>
      </c>
      <c r="L389" s="29" t="s">
        <v>211</v>
      </c>
      <c r="M389" s="29" t="s">
        <v>184</v>
      </c>
      <c r="N389" s="29" t="s">
        <v>23</v>
      </c>
      <c r="O389" s="29" t="s">
        <v>212</v>
      </c>
      <c r="P389" s="32"/>
      <c r="Q389" s="14" t="s">
        <v>1222</v>
      </c>
      <c r="R389" s="37"/>
      <c r="S389" s="38"/>
      <c r="T389" s="30"/>
      <c r="U389" s="39"/>
      <c r="V389" s="40"/>
      <c r="W389" s="39"/>
      <c r="X389" s="41"/>
      <c r="Y389" s="9"/>
      <c r="Z389" s="9"/>
      <c r="AA389" s="9"/>
      <c r="AB389" s="7">
        <v>91153</v>
      </c>
      <c r="AC389" s="33"/>
      <c r="AD389" s="33"/>
      <c r="AE389" s="33"/>
      <c r="AF389" s="66">
        <v>46310</v>
      </c>
    </row>
    <row r="390" spans="2:32" x14ac:dyDescent="0.3">
      <c r="B390" s="13">
        <v>46127</v>
      </c>
      <c r="C390" s="70">
        <v>10018993</v>
      </c>
      <c r="D390" s="30" t="s">
        <v>1167</v>
      </c>
      <c r="E390" s="30" t="s">
        <v>1167</v>
      </c>
      <c r="F390" s="65" t="s">
        <v>1023</v>
      </c>
      <c r="G390" s="69">
        <v>46159</v>
      </c>
      <c r="H390" s="15" t="s">
        <v>251</v>
      </c>
      <c r="I390" s="15"/>
      <c r="J390" s="29">
        <v>45087</v>
      </c>
      <c r="K390" s="29">
        <v>45505</v>
      </c>
      <c r="L390" s="29" t="s">
        <v>211</v>
      </c>
      <c r="M390" s="29" t="s">
        <v>116</v>
      </c>
      <c r="N390" s="29" t="s">
        <v>24</v>
      </c>
      <c r="O390" s="29" t="s">
        <v>212</v>
      </c>
      <c r="P390" s="32"/>
      <c r="Q390" s="14" t="s">
        <v>1222</v>
      </c>
      <c r="R390" s="37"/>
      <c r="S390" s="38"/>
      <c r="T390" s="30"/>
      <c r="U390" s="39"/>
      <c r="V390" s="40"/>
      <c r="W390" s="39"/>
      <c r="X390" s="41"/>
      <c r="Y390" s="9"/>
      <c r="Z390" s="9"/>
      <c r="AA390" s="9"/>
      <c r="AB390" s="7">
        <v>36423</v>
      </c>
      <c r="AC390" s="33"/>
      <c r="AD390" s="33"/>
      <c r="AE390" s="33"/>
      <c r="AF390" s="66">
        <v>46310</v>
      </c>
    </row>
    <row r="391" spans="2:32" x14ac:dyDescent="0.3">
      <c r="B391" s="13">
        <v>46127</v>
      </c>
      <c r="C391" s="70">
        <v>10017817</v>
      </c>
      <c r="D391" s="30" t="s">
        <v>1169</v>
      </c>
      <c r="E391" s="30" t="s">
        <v>1170</v>
      </c>
      <c r="F391" s="65" t="s">
        <v>987</v>
      </c>
      <c r="G391" s="69">
        <v>46159</v>
      </c>
      <c r="H391" s="15" t="s">
        <v>251</v>
      </c>
      <c r="I391" s="15"/>
      <c r="J391" s="29">
        <v>44849</v>
      </c>
      <c r="K391" s="29">
        <v>45170</v>
      </c>
      <c r="L391" s="29" t="s">
        <v>211</v>
      </c>
      <c r="M391" s="29" t="s">
        <v>116</v>
      </c>
      <c r="N391" s="29" t="s">
        <v>24</v>
      </c>
      <c r="O391" s="29" t="s">
        <v>212</v>
      </c>
      <c r="P391" s="32"/>
      <c r="Q391" s="14" t="s">
        <v>1222</v>
      </c>
      <c r="R391" s="37"/>
      <c r="S391" s="38"/>
      <c r="T391" s="30"/>
      <c r="U391" s="39"/>
      <c r="V391" s="40"/>
      <c r="W391" s="39"/>
      <c r="X391" s="41"/>
      <c r="Y391" s="9"/>
      <c r="Z391" s="9"/>
      <c r="AA391" s="9"/>
      <c r="AB391" s="7">
        <v>20118</v>
      </c>
      <c r="AC391" s="33"/>
      <c r="AD391" s="33"/>
      <c r="AE391" s="33"/>
      <c r="AF391" s="66">
        <v>46310</v>
      </c>
    </row>
    <row r="392" spans="2:32" x14ac:dyDescent="0.3">
      <c r="B392" s="13">
        <v>46127</v>
      </c>
      <c r="C392" s="70">
        <v>10018954</v>
      </c>
      <c r="D392" s="30" t="s">
        <v>1182</v>
      </c>
      <c r="E392" s="30" t="s">
        <v>1183</v>
      </c>
      <c r="F392" s="65" t="s">
        <v>366</v>
      </c>
      <c r="G392" s="69">
        <v>46159</v>
      </c>
      <c r="H392" s="15" t="s">
        <v>251</v>
      </c>
      <c r="I392" s="15"/>
      <c r="J392" s="29">
        <v>45088</v>
      </c>
      <c r="K392" s="29">
        <v>45961</v>
      </c>
      <c r="L392" s="29" t="s">
        <v>211</v>
      </c>
      <c r="M392" s="29" t="s">
        <v>96</v>
      </c>
      <c r="N392" s="29" t="s">
        <v>23</v>
      </c>
      <c r="O392" s="29" t="s">
        <v>212</v>
      </c>
      <c r="P392" s="32"/>
      <c r="Q392" s="14" t="s">
        <v>1222</v>
      </c>
      <c r="R392" s="37"/>
      <c r="S392" s="38"/>
      <c r="T392" s="30"/>
      <c r="U392" s="39"/>
      <c r="V392" s="40"/>
      <c r="W392" s="39"/>
      <c r="X392" s="41"/>
      <c r="Y392" s="9"/>
      <c r="Z392" s="9"/>
      <c r="AA392" s="9"/>
      <c r="AB392" s="7">
        <v>75973</v>
      </c>
      <c r="AC392" s="33"/>
      <c r="AD392" s="33"/>
      <c r="AE392" s="33"/>
      <c r="AF392" s="66">
        <v>46310</v>
      </c>
    </row>
    <row r="393" spans="2:32" x14ac:dyDescent="0.3">
      <c r="B393" s="13">
        <v>46127</v>
      </c>
      <c r="C393" s="70">
        <v>13029</v>
      </c>
      <c r="D393" s="30" t="s">
        <v>1120</v>
      </c>
      <c r="E393" s="30" t="s">
        <v>1121</v>
      </c>
      <c r="F393" s="65" t="s">
        <v>964</v>
      </c>
      <c r="G393" s="69">
        <v>46159</v>
      </c>
      <c r="H393" s="15" t="s">
        <v>251</v>
      </c>
      <c r="I393" s="15"/>
      <c r="J393" s="29">
        <v>43704</v>
      </c>
      <c r="K393" s="29">
        <v>45943</v>
      </c>
      <c r="L393" s="29" t="s">
        <v>234</v>
      </c>
      <c r="M393" s="29" t="s">
        <v>94</v>
      </c>
      <c r="N393" s="29" t="s">
        <v>17</v>
      </c>
      <c r="O393" s="29" t="s">
        <v>227</v>
      </c>
      <c r="P393" s="32">
        <v>44927</v>
      </c>
      <c r="Q393" s="14" t="s">
        <v>1222</v>
      </c>
      <c r="R393" s="37"/>
      <c r="S393" s="38"/>
      <c r="T393" s="30"/>
      <c r="U393" s="39"/>
      <c r="V393" s="40"/>
      <c r="W393" s="39"/>
      <c r="X393" s="41"/>
      <c r="Y393" s="9"/>
      <c r="Z393" s="9"/>
      <c r="AA393" s="9"/>
      <c r="AB393" s="7">
        <v>152041</v>
      </c>
      <c r="AC393" s="33"/>
      <c r="AD393" s="33"/>
      <c r="AE393" s="33"/>
      <c r="AF393" s="66">
        <v>46310</v>
      </c>
    </row>
    <row r="394" spans="2:32" x14ac:dyDescent="0.3">
      <c r="B394" s="13">
        <v>46127</v>
      </c>
      <c r="C394" s="70">
        <v>10017381</v>
      </c>
      <c r="D394" s="30" t="s">
        <v>1082</v>
      </c>
      <c r="E394" s="30" t="s">
        <v>1083</v>
      </c>
      <c r="F394" s="65" t="s">
        <v>942</v>
      </c>
      <c r="G394" s="69">
        <v>46159</v>
      </c>
      <c r="H394" s="15" t="s">
        <v>251</v>
      </c>
      <c r="I394" s="15"/>
      <c r="J394" s="29">
        <v>44783</v>
      </c>
      <c r="K394" s="29">
        <v>46022</v>
      </c>
      <c r="L394" s="29" t="s">
        <v>220</v>
      </c>
      <c r="M394" s="29" t="s">
        <v>274</v>
      </c>
      <c r="N394" s="29" t="s">
        <v>17</v>
      </c>
      <c r="O394" s="29" t="s">
        <v>221</v>
      </c>
      <c r="P394" s="32"/>
      <c r="Q394" s="14" t="s">
        <v>1222</v>
      </c>
      <c r="R394" s="37"/>
      <c r="S394" s="38"/>
      <c r="T394" s="30"/>
      <c r="U394" s="39"/>
      <c r="V394" s="40"/>
      <c r="W394" s="39"/>
      <c r="X394" s="41"/>
      <c r="Y394" s="9"/>
      <c r="Z394" s="9"/>
      <c r="AA394" s="9"/>
      <c r="AB394" s="7">
        <v>55340</v>
      </c>
      <c r="AC394" s="33"/>
      <c r="AD394" s="33"/>
      <c r="AE394" s="33"/>
      <c r="AF394" s="66">
        <v>46310</v>
      </c>
    </row>
    <row r="395" spans="2:32" x14ac:dyDescent="0.3">
      <c r="B395" s="13">
        <v>46127</v>
      </c>
      <c r="C395" s="70">
        <v>10023758</v>
      </c>
      <c r="D395" s="30" t="s">
        <v>1112</v>
      </c>
      <c r="E395" s="30" t="s">
        <v>1112</v>
      </c>
      <c r="F395" s="65" t="s">
        <v>1334</v>
      </c>
      <c r="G395" s="69">
        <v>46159</v>
      </c>
      <c r="H395" s="15" t="s">
        <v>251</v>
      </c>
      <c r="I395" s="15"/>
      <c r="J395" s="29">
        <v>45778</v>
      </c>
      <c r="K395" s="29">
        <v>45850</v>
      </c>
      <c r="L395" s="29" t="s">
        <v>235</v>
      </c>
      <c r="M395" s="29" t="s">
        <v>162</v>
      </c>
      <c r="N395" s="29" t="s">
        <v>17</v>
      </c>
      <c r="O395" s="29" t="s">
        <v>221</v>
      </c>
      <c r="P395" s="32"/>
      <c r="Q395" s="14" t="s">
        <v>1222</v>
      </c>
      <c r="R395" s="37"/>
      <c r="S395" s="38"/>
      <c r="T395" s="30"/>
      <c r="U395" s="39"/>
      <c r="V395" s="40"/>
      <c r="W395" s="39"/>
      <c r="X395" s="41"/>
      <c r="Y395" s="9"/>
      <c r="Z395" s="9"/>
      <c r="AA395" s="9"/>
      <c r="AB395" s="7">
        <v>7287</v>
      </c>
      <c r="AC395" s="33"/>
      <c r="AD395" s="33"/>
      <c r="AE395" s="33"/>
      <c r="AF395" s="66">
        <v>46310</v>
      </c>
    </row>
    <row r="396" spans="2:32" x14ac:dyDescent="0.3">
      <c r="B396" s="13">
        <v>46147</v>
      </c>
      <c r="C396" s="70">
        <v>10016572</v>
      </c>
      <c r="D396" s="30" t="s">
        <v>1275</v>
      </c>
      <c r="E396" s="30" t="s">
        <v>1275</v>
      </c>
      <c r="F396" s="65" t="s">
        <v>1233</v>
      </c>
      <c r="G396" s="69">
        <v>46159</v>
      </c>
      <c r="H396" s="15" t="s">
        <v>251</v>
      </c>
      <c r="I396" s="15"/>
      <c r="J396" s="29">
        <v>44608</v>
      </c>
      <c r="K396" s="29">
        <v>45627</v>
      </c>
      <c r="L396" s="29" t="s">
        <v>222</v>
      </c>
      <c r="M396" s="29" t="s">
        <v>131</v>
      </c>
      <c r="N396" s="29" t="s">
        <v>22</v>
      </c>
      <c r="O396" s="29" t="s">
        <v>214</v>
      </c>
      <c r="P396" s="32">
        <v>44927</v>
      </c>
      <c r="Q396" s="14" t="s">
        <v>1222</v>
      </c>
      <c r="R396" s="37"/>
      <c r="S396" s="38"/>
      <c r="T396" s="30"/>
      <c r="U396" s="39"/>
      <c r="V396" s="40"/>
      <c r="W396" s="39"/>
      <c r="X396" s="41"/>
      <c r="Y396" s="9"/>
      <c r="Z396" s="9"/>
      <c r="AA396" s="9"/>
      <c r="AB396" s="7">
        <v>102446</v>
      </c>
      <c r="AC396" s="33"/>
      <c r="AD396" s="33"/>
      <c r="AE396" s="33"/>
      <c r="AF396" s="66">
        <v>46331</v>
      </c>
    </row>
    <row r="397" spans="2:32" x14ac:dyDescent="0.3">
      <c r="B397" s="13">
        <v>46127</v>
      </c>
      <c r="C397" s="70">
        <v>14713</v>
      </c>
      <c r="D397" s="30" t="s">
        <v>1041</v>
      </c>
      <c r="E397" s="30" t="s">
        <v>1042</v>
      </c>
      <c r="F397" s="65" t="s">
        <v>919</v>
      </c>
      <c r="G397" s="69">
        <v>46160</v>
      </c>
      <c r="H397" s="15" t="s">
        <v>251</v>
      </c>
      <c r="I397" s="15"/>
      <c r="J397" s="29">
        <v>44198</v>
      </c>
      <c r="K397" s="29">
        <v>45535</v>
      </c>
      <c r="L397" s="29" t="s">
        <v>216</v>
      </c>
      <c r="M397" s="29" t="s">
        <v>92</v>
      </c>
      <c r="N397" s="29" t="s">
        <v>16</v>
      </c>
      <c r="O397" s="29" t="s">
        <v>217</v>
      </c>
      <c r="P397" s="32"/>
      <c r="Q397" s="14" t="s">
        <v>1222</v>
      </c>
      <c r="R397" s="37"/>
      <c r="S397" s="38"/>
      <c r="T397" s="30"/>
      <c r="U397" s="39"/>
      <c r="V397" s="40"/>
      <c r="W397" s="39"/>
      <c r="X397" s="41"/>
      <c r="Y397" s="9"/>
      <c r="Z397" s="9"/>
      <c r="AA397" s="9"/>
      <c r="AB397" s="7">
        <v>262175</v>
      </c>
      <c r="AC397" s="33"/>
      <c r="AD397" s="33"/>
      <c r="AE397" s="33"/>
      <c r="AF397" s="66">
        <v>46310</v>
      </c>
    </row>
    <row r="398" spans="2:32" x14ac:dyDescent="0.3">
      <c r="B398" s="13">
        <v>46127</v>
      </c>
      <c r="C398" s="70">
        <v>10017482</v>
      </c>
      <c r="D398" s="30" t="s">
        <v>1141</v>
      </c>
      <c r="E398" s="30" t="s">
        <v>1142</v>
      </c>
      <c r="F398" s="65" t="s">
        <v>974</v>
      </c>
      <c r="G398" s="69">
        <v>46160</v>
      </c>
      <c r="H398" s="15" t="s">
        <v>251</v>
      </c>
      <c r="I398" s="15"/>
      <c r="J398" s="29">
        <v>44796</v>
      </c>
      <c r="K398" s="29">
        <v>45906</v>
      </c>
      <c r="L398" s="29" t="s">
        <v>219</v>
      </c>
      <c r="M398" s="29" t="s">
        <v>100</v>
      </c>
      <c r="N398" s="29" t="s">
        <v>24</v>
      </c>
      <c r="O398" s="29" t="s">
        <v>214</v>
      </c>
      <c r="P398" s="32">
        <v>45658</v>
      </c>
      <c r="Q398" s="14" t="s">
        <v>1222</v>
      </c>
      <c r="R398" s="37"/>
      <c r="S398" s="38"/>
      <c r="T398" s="30"/>
      <c r="U398" s="39"/>
      <c r="V398" s="40"/>
      <c r="W398" s="39"/>
      <c r="X398" s="41"/>
      <c r="Y398" s="9"/>
      <c r="Z398" s="9"/>
      <c r="AA398" s="9"/>
      <c r="AB398" s="7">
        <v>119677</v>
      </c>
      <c r="AC398" s="33"/>
      <c r="AD398" s="33"/>
      <c r="AE398" s="33"/>
      <c r="AF398" s="66">
        <v>46310</v>
      </c>
    </row>
    <row r="399" spans="2:32" x14ac:dyDescent="0.3">
      <c r="B399" s="13">
        <v>46127</v>
      </c>
      <c r="C399" s="70">
        <v>10018651</v>
      </c>
      <c r="D399" s="30" t="s">
        <v>1119</v>
      </c>
      <c r="E399" s="30" t="s">
        <v>1119</v>
      </c>
      <c r="F399" s="65" t="s">
        <v>963</v>
      </c>
      <c r="G399" s="69">
        <v>46160</v>
      </c>
      <c r="H399" s="15" t="s">
        <v>251</v>
      </c>
      <c r="I399" s="15"/>
      <c r="J399" s="29">
        <v>45031</v>
      </c>
      <c r="K399" s="29">
        <v>45931</v>
      </c>
      <c r="L399" s="29" t="s">
        <v>211</v>
      </c>
      <c r="M399" s="29" t="s">
        <v>120</v>
      </c>
      <c r="N399" s="29" t="s">
        <v>23</v>
      </c>
      <c r="O399" s="29" t="s">
        <v>212</v>
      </c>
      <c r="P399" s="32"/>
      <c r="Q399" s="14" t="s">
        <v>1222</v>
      </c>
      <c r="R399" s="37"/>
      <c r="S399" s="38"/>
      <c r="T399" s="30"/>
      <c r="U399" s="39"/>
      <c r="V399" s="40"/>
      <c r="W399" s="39"/>
      <c r="X399" s="41"/>
      <c r="Y399" s="9"/>
      <c r="Z399" s="9"/>
      <c r="AA399" s="9"/>
      <c r="AB399" s="7">
        <v>64852</v>
      </c>
      <c r="AC399" s="33"/>
      <c r="AD399" s="33"/>
      <c r="AE399" s="33"/>
      <c r="AF399" s="66">
        <v>46310</v>
      </c>
    </row>
    <row r="400" spans="2:32" x14ac:dyDescent="0.3">
      <c r="B400" s="13">
        <v>46127</v>
      </c>
      <c r="C400" s="70">
        <v>10016695</v>
      </c>
      <c r="D400" s="30" t="s">
        <v>1163</v>
      </c>
      <c r="E400" s="30" t="s">
        <v>1163</v>
      </c>
      <c r="F400" s="65" t="s">
        <v>985</v>
      </c>
      <c r="G400" s="69">
        <v>46160</v>
      </c>
      <c r="H400" s="15" t="s">
        <v>251</v>
      </c>
      <c r="I400" s="15"/>
      <c r="J400" s="29">
        <v>44621</v>
      </c>
      <c r="K400" s="29">
        <v>45934</v>
      </c>
      <c r="L400" s="29" t="s">
        <v>226</v>
      </c>
      <c r="M400" s="29" t="s">
        <v>94</v>
      </c>
      <c r="N400" s="29" t="s">
        <v>17</v>
      </c>
      <c r="O400" s="29" t="s">
        <v>221</v>
      </c>
      <c r="P400" s="32"/>
      <c r="Q400" s="14" t="s">
        <v>1222</v>
      </c>
      <c r="R400" s="37"/>
      <c r="S400" s="38"/>
      <c r="T400" s="30"/>
      <c r="U400" s="39"/>
      <c r="V400" s="40"/>
      <c r="W400" s="39"/>
      <c r="X400" s="41"/>
      <c r="Y400" s="9"/>
      <c r="Z400" s="9"/>
      <c r="AA400" s="9"/>
      <c r="AB400" s="7">
        <v>77704</v>
      </c>
      <c r="AC400" s="33"/>
      <c r="AD400" s="33"/>
      <c r="AE400" s="33"/>
      <c r="AF400" s="66">
        <v>46310</v>
      </c>
    </row>
    <row r="401" spans="1:36" x14ac:dyDescent="0.3">
      <c r="B401" s="13">
        <v>46147</v>
      </c>
      <c r="C401" s="70">
        <v>5290</v>
      </c>
      <c r="D401" s="30">
        <v>8801847212895</v>
      </c>
      <c r="E401" s="30">
        <v>8801818787896</v>
      </c>
      <c r="F401" s="65" t="s">
        <v>1228</v>
      </c>
      <c r="G401" s="69">
        <v>46160</v>
      </c>
      <c r="H401" s="15" t="s">
        <v>251</v>
      </c>
      <c r="I401" s="15" t="s">
        <v>1224</v>
      </c>
      <c r="J401" s="29">
        <v>41343</v>
      </c>
      <c r="K401" s="29">
        <v>45994</v>
      </c>
      <c r="L401" s="29" t="s">
        <v>215</v>
      </c>
      <c r="M401" s="29" t="s">
        <v>97</v>
      </c>
      <c r="N401" s="29" t="s">
        <v>23</v>
      </c>
      <c r="O401" s="29" t="s">
        <v>223</v>
      </c>
      <c r="P401" s="32">
        <v>44562</v>
      </c>
      <c r="Q401" s="14" t="s">
        <v>1222</v>
      </c>
      <c r="R401" s="37"/>
      <c r="S401" s="38"/>
      <c r="T401" s="30"/>
      <c r="U401" s="39"/>
      <c r="V401" s="40"/>
      <c r="W401" s="39"/>
      <c r="X401" s="41"/>
      <c r="Y401" s="9"/>
      <c r="Z401" s="9"/>
      <c r="AA401" s="9"/>
      <c r="AB401" s="7">
        <v>1371759</v>
      </c>
      <c r="AC401" s="33"/>
      <c r="AD401" s="33"/>
      <c r="AE401" s="33"/>
      <c r="AF401" s="66">
        <v>46331</v>
      </c>
    </row>
    <row r="402" spans="1:36" x14ac:dyDescent="0.3">
      <c r="B402" s="13">
        <v>46127</v>
      </c>
      <c r="C402" s="70">
        <v>10017025</v>
      </c>
      <c r="D402" s="61">
        <v>8801894929576</v>
      </c>
      <c r="E402" s="61">
        <v>1638289251</v>
      </c>
      <c r="F402" s="65" t="s">
        <v>1002</v>
      </c>
      <c r="G402" s="69">
        <v>46161</v>
      </c>
      <c r="H402" s="15" t="s">
        <v>251</v>
      </c>
      <c r="I402" s="15" t="s">
        <v>1295</v>
      </c>
      <c r="J402" s="29">
        <v>44718</v>
      </c>
      <c r="K402" s="29">
        <v>45962</v>
      </c>
      <c r="L402" s="29" t="s">
        <v>219</v>
      </c>
      <c r="M402" s="29" t="s">
        <v>177</v>
      </c>
      <c r="N402" s="29" t="s">
        <v>24</v>
      </c>
      <c r="O402" s="29" t="s">
        <v>214</v>
      </c>
      <c r="P402" s="32">
        <v>45292</v>
      </c>
      <c r="Q402" s="14" t="s">
        <v>1222</v>
      </c>
      <c r="R402" s="37"/>
      <c r="S402" s="38"/>
      <c r="T402" s="30"/>
      <c r="U402" s="39"/>
      <c r="V402" s="40"/>
      <c r="W402" s="39"/>
      <c r="X402" s="41"/>
      <c r="Y402" s="9"/>
      <c r="Z402" s="9"/>
      <c r="AA402" s="9"/>
      <c r="AB402" s="7">
        <v>43507</v>
      </c>
      <c r="AC402" s="33"/>
      <c r="AD402" s="33"/>
      <c r="AE402" s="33"/>
      <c r="AF402" s="66">
        <v>46310</v>
      </c>
    </row>
    <row r="403" spans="1:36" x14ac:dyDescent="0.3">
      <c r="B403" s="13">
        <v>46127</v>
      </c>
      <c r="C403" s="70">
        <v>10020067</v>
      </c>
      <c r="D403" s="30" t="s">
        <v>1102</v>
      </c>
      <c r="E403" s="30" t="s">
        <v>1102</v>
      </c>
      <c r="F403" s="65" t="s">
        <v>956</v>
      </c>
      <c r="G403" s="69">
        <v>46161</v>
      </c>
      <c r="H403" s="15" t="s">
        <v>251</v>
      </c>
      <c r="I403" s="15"/>
      <c r="J403" s="29">
        <v>45294</v>
      </c>
      <c r="K403" s="29">
        <v>45962</v>
      </c>
      <c r="L403" s="29" t="s">
        <v>211</v>
      </c>
      <c r="M403" s="29" t="s">
        <v>167</v>
      </c>
      <c r="N403" s="29" t="s">
        <v>24</v>
      </c>
      <c r="O403" s="29" t="s">
        <v>212</v>
      </c>
      <c r="P403" s="32"/>
      <c r="Q403" s="14" t="s">
        <v>1222</v>
      </c>
      <c r="R403" s="37"/>
      <c r="S403" s="38"/>
      <c r="T403" s="30"/>
      <c r="U403" s="39"/>
      <c r="V403" s="40"/>
      <c r="W403" s="39"/>
      <c r="X403" s="41"/>
      <c r="Y403" s="9"/>
      <c r="Z403" s="9"/>
      <c r="AA403" s="9"/>
      <c r="AB403" s="7">
        <v>24725</v>
      </c>
      <c r="AC403" s="33"/>
      <c r="AD403" s="33"/>
      <c r="AE403" s="33"/>
      <c r="AF403" s="66">
        <v>46310</v>
      </c>
    </row>
    <row r="404" spans="1:36" x14ac:dyDescent="0.3">
      <c r="B404" s="13">
        <v>46127</v>
      </c>
      <c r="C404" s="70">
        <v>10020223</v>
      </c>
      <c r="D404" s="30" t="s">
        <v>1180</v>
      </c>
      <c r="E404" s="30" t="s">
        <v>1180</v>
      </c>
      <c r="F404" s="65" t="s">
        <v>1032</v>
      </c>
      <c r="G404" s="69">
        <v>46161</v>
      </c>
      <c r="H404" s="15" t="s">
        <v>251</v>
      </c>
      <c r="I404" s="15"/>
      <c r="J404" s="29">
        <v>45292</v>
      </c>
      <c r="K404" s="29">
        <v>45852</v>
      </c>
      <c r="L404" s="29" t="s">
        <v>211</v>
      </c>
      <c r="M404" s="29" t="s">
        <v>1214</v>
      </c>
      <c r="N404" s="29" t="s">
        <v>25</v>
      </c>
      <c r="O404" s="29" t="s">
        <v>212</v>
      </c>
      <c r="P404" s="32"/>
      <c r="Q404" s="14" t="s">
        <v>1222</v>
      </c>
      <c r="R404" s="37"/>
      <c r="S404" s="38"/>
      <c r="T404" s="30"/>
      <c r="U404" s="39"/>
      <c r="V404" s="40"/>
      <c r="W404" s="39"/>
      <c r="X404" s="41"/>
      <c r="Y404" s="9"/>
      <c r="Z404" s="9"/>
      <c r="AA404" s="9"/>
      <c r="AB404" s="7">
        <v>28064</v>
      </c>
      <c r="AC404" s="33"/>
      <c r="AD404" s="33"/>
      <c r="AE404" s="33"/>
      <c r="AF404" s="66">
        <v>46310</v>
      </c>
    </row>
    <row r="405" spans="1:36" x14ac:dyDescent="0.3">
      <c r="B405" s="13">
        <v>46147</v>
      </c>
      <c r="C405" s="70">
        <v>10019832</v>
      </c>
      <c r="D405" s="30">
        <v>8801760089125</v>
      </c>
      <c r="E405" s="30">
        <v>8801760089125</v>
      </c>
      <c r="F405" s="65" t="s">
        <v>1236</v>
      </c>
      <c r="G405" s="69">
        <v>46161</v>
      </c>
      <c r="H405" s="15" t="s">
        <v>251</v>
      </c>
      <c r="I405" s="15" t="s">
        <v>1224</v>
      </c>
      <c r="J405" s="29">
        <v>45231</v>
      </c>
      <c r="K405" s="29">
        <v>45826</v>
      </c>
      <c r="L405" s="29" t="s">
        <v>211</v>
      </c>
      <c r="M405" s="29" t="s">
        <v>127</v>
      </c>
      <c r="N405" s="29" t="s">
        <v>23</v>
      </c>
      <c r="O405" s="29" t="s">
        <v>212</v>
      </c>
      <c r="P405" s="32"/>
      <c r="Q405" s="14" t="s">
        <v>1222</v>
      </c>
      <c r="R405" s="37"/>
      <c r="S405" s="38"/>
      <c r="T405" s="30"/>
      <c r="U405" s="39"/>
      <c r="V405" s="40"/>
      <c r="W405" s="39"/>
      <c r="X405" s="41"/>
      <c r="Y405" s="9"/>
      <c r="Z405" s="9"/>
      <c r="AA405" s="9"/>
      <c r="AB405" s="7">
        <v>68453</v>
      </c>
      <c r="AC405" s="33"/>
      <c r="AD405" s="33"/>
      <c r="AE405" s="33"/>
      <c r="AF405" s="66">
        <v>46331</v>
      </c>
    </row>
    <row r="406" spans="1:36" x14ac:dyDescent="0.3">
      <c r="B406" s="13">
        <v>46127</v>
      </c>
      <c r="C406" s="70">
        <v>10016580</v>
      </c>
      <c r="D406" s="30" t="s">
        <v>1074</v>
      </c>
      <c r="E406" s="30" t="s">
        <v>1075</v>
      </c>
      <c r="F406" s="65" t="s">
        <v>936</v>
      </c>
      <c r="G406" s="69">
        <v>46162</v>
      </c>
      <c r="H406" s="15" t="s">
        <v>251</v>
      </c>
      <c r="I406" s="15" t="s">
        <v>1294</v>
      </c>
      <c r="J406" s="29">
        <v>44621</v>
      </c>
      <c r="K406" s="29">
        <v>45292</v>
      </c>
      <c r="L406" s="29" t="s">
        <v>211</v>
      </c>
      <c r="M406" s="29" t="s">
        <v>148</v>
      </c>
      <c r="N406" s="29" t="s">
        <v>23</v>
      </c>
      <c r="O406" s="29" t="s">
        <v>212</v>
      </c>
      <c r="P406" s="32"/>
      <c r="Q406" s="14" t="s">
        <v>1326</v>
      </c>
      <c r="R406" s="37"/>
      <c r="S406" s="38"/>
      <c r="T406" s="30"/>
      <c r="U406" s="39"/>
      <c r="V406" s="40"/>
      <c r="W406" s="39"/>
      <c r="X406" s="41"/>
      <c r="Y406" s="9"/>
      <c r="Z406" s="9"/>
      <c r="AA406" s="9"/>
      <c r="AB406" s="7">
        <v>44458</v>
      </c>
      <c r="AC406" s="33"/>
      <c r="AD406" s="33"/>
      <c r="AE406" s="33"/>
      <c r="AF406" s="66">
        <v>46310</v>
      </c>
    </row>
    <row r="407" spans="1:36" x14ac:dyDescent="0.3">
      <c r="B407" s="13">
        <v>46127</v>
      </c>
      <c r="C407" s="70">
        <v>10023610</v>
      </c>
      <c r="D407" s="30" t="s">
        <v>1101</v>
      </c>
      <c r="E407" s="30" t="s">
        <v>1101</v>
      </c>
      <c r="F407" s="65" t="s">
        <v>955</v>
      </c>
      <c r="G407" s="69">
        <v>46162</v>
      </c>
      <c r="H407" s="15" t="s">
        <v>251</v>
      </c>
      <c r="I407" s="15" t="s">
        <v>1224</v>
      </c>
      <c r="J407" s="29">
        <v>45777</v>
      </c>
      <c r="K407" s="29">
        <v>45879</v>
      </c>
      <c r="L407" s="29" t="s">
        <v>211</v>
      </c>
      <c r="M407" s="29" t="s">
        <v>1207</v>
      </c>
      <c r="N407" s="29" t="s">
        <v>25</v>
      </c>
      <c r="O407" s="29" t="s">
        <v>212</v>
      </c>
      <c r="P407" s="32"/>
      <c r="Q407" s="14" t="s">
        <v>1222</v>
      </c>
      <c r="R407" s="37"/>
      <c r="S407" s="38"/>
      <c r="T407" s="30"/>
      <c r="U407" s="39"/>
      <c r="V407" s="40"/>
      <c r="W407" s="39"/>
      <c r="X407" s="41"/>
      <c r="Y407" s="9"/>
      <c r="Z407" s="9"/>
      <c r="AA407" s="9"/>
      <c r="AB407" s="7">
        <v>9991</v>
      </c>
      <c r="AC407" s="33"/>
      <c r="AD407" s="33"/>
      <c r="AE407" s="33"/>
      <c r="AF407" s="66">
        <v>46310</v>
      </c>
    </row>
    <row r="408" spans="1:36" x14ac:dyDescent="0.3">
      <c r="B408" s="13">
        <v>46147</v>
      </c>
      <c r="C408" s="70">
        <v>10959</v>
      </c>
      <c r="D408" s="30">
        <v>1718018508</v>
      </c>
      <c r="E408" s="30">
        <v>1847345682</v>
      </c>
      <c r="F408" s="65" t="s">
        <v>1227</v>
      </c>
      <c r="G408" s="69">
        <v>46162</v>
      </c>
      <c r="H408" s="15" t="s">
        <v>251</v>
      </c>
      <c r="I408" s="15" t="s">
        <v>1224</v>
      </c>
      <c r="J408" s="29">
        <v>43213</v>
      </c>
      <c r="K408" s="29">
        <v>45855</v>
      </c>
      <c r="L408" s="29" t="s">
        <v>215</v>
      </c>
      <c r="M408" s="29" t="s">
        <v>185</v>
      </c>
      <c r="N408" s="29" t="s">
        <v>24</v>
      </c>
      <c r="O408" s="29" t="s">
        <v>223</v>
      </c>
      <c r="P408" s="32">
        <v>0</v>
      </c>
      <c r="Q408" s="14" t="s">
        <v>1222</v>
      </c>
      <c r="R408" s="37"/>
      <c r="S408" s="38"/>
      <c r="T408" s="30"/>
      <c r="U408" s="39"/>
      <c r="V408" s="40"/>
      <c r="W408" s="39"/>
      <c r="X408" s="41"/>
      <c r="Y408" s="9"/>
      <c r="Z408" s="9"/>
      <c r="AA408" s="9"/>
      <c r="AB408" s="7">
        <v>859550</v>
      </c>
      <c r="AC408" s="33"/>
      <c r="AD408" s="33"/>
      <c r="AE408" s="33"/>
      <c r="AF408" s="66">
        <v>46331</v>
      </c>
    </row>
    <row r="409" spans="1:36" x14ac:dyDescent="0.3">
      <c r="B409" s="13">
        <v>46147</v>
      </c>
      <c r="C409" s="70">
        <v>13115</v>
      </c>
      <c r="D409" s="30">
        <v>8801781539656</v>
      </c>
      <c r="E409" s="30">
        <v>1781539656</v>
      </c>
      <c r="F409" s="65" t="s">
        <v>1230</v>
      </c>
      <c r="G409" s="69">
        <v>46162</v>
      </c>
      <c r="H409" s="15" t="s">
        <v>251</v>
      </c>
      <c r="I409" s="15" t="s">
        <v>1224</v>
      </c>
      <c r="J409" s="29">
        <v>43720</v>
      </c>
      <c r="K409" s="29">
        <v>45839</v>
      </c>
      <c r="L409" s="29" t="s">
        <v>219</v>
      </c>
      <c r="M409" s="29" t="s">
        <v>286</v>
      </c>
      <c r="N409" s="29" t="s">
        <v>24</v>
      </c>
      <c r="O409" s="29" t="s">
        <v>214</v>
      </c>
      <c r="P409" s="32"/>
      <c r="Q409" s="14" t="s">
        <v>1222</v>
      </c>
      <c r="R409" s="37"/>
      <c r="S409" s="38"/>
      <c r="T409" s="30"/>
      <c r="U409" s="39"/>
      <c r="V409" s="40"/>
      <c r="W409" s="39"/>
      <c r="X409" s="41"/>
      <c r="Y409" s="9"/>
      <c r="Z409" s="9"/>
      <c r="AA409" s="9"/>
      <c r="AB409" s="7">
        <v>385419</v>
      </c>
      <c r="AC409" s="33"/>
      <c r="AD409" s="33"/>
      <c r="AE409" s="33"/>
      <c r="AF409" s="66">
        <v>46331</v>
      </c>
    </row>
    <row r="410" spans="1:36" x14ac:dyDescent="0.3">
      <c r="B410" s="13">
        <v>46147</v>
      </c>
      <c r="C410" s="70">
        <v>10023492</v>
      </c>
      <c r="D410" s="30">
        <v>8801986673510</v>
      </c>
      <c r="E410" s="30">
        <v>8801986673510</v>
      </c>
      <c r="F410" s="65" t="s">
        <v>1254</v>
      </c>
      <c r="G410" s="69">
        <v>46162</v>
      </c>
      <c r="H410" s="15" t="s">
        <v>251</v>
      </c>
      <c r="I410" s="15" t="s">
        <v>1224</v>
      </c>
      <c r="J410" s="29">
        <v>45770</v>
      </c>
      <c r="K410" s="29">
        <v>46082</v>
      </c>
      <c r="L410" s="29" t="s">
        <v>224</v>
      </c>
      <c r="M410" s="29" t="s">
        <v>159</v>
      </c>
      <c r="N410" s="29" t="s">
        <v>314</v>
      </c>
      <c r="O410" s="29" t="s">
        <v>217</v>
      </c>
      <c r="P410" s="32"/>
      <c r="Q410" s="14" t="s">
        <v>1222</v>
      </c>
      <c r="R410" s="37"/>
      <c r="S410" s="38"/>
      <c r="T410" s="30"/>
      <c r="U410" s="39"/>
      <c r="V410" s="40"/>
      <c r="W410" s="39"/>
      <c r="X410" s="41"/>
      <c r="Y410" s="9"/>
      <c r="Z410" s="9"/>
      <c r="AA410" s="9"/>
      <c r="AB410" s="7">
        <v>26122</v>
      </c>
      <c r="AC410" s="33"/>
      <c r="AD410" s="33"/>
      <c r="AE410" s="33"/>
      <c r="AF410" s="66">
        <v>46331</v>
      </c>
    </row>
    <row r="411" spans="1:36" x14ac:dyDescent="0.3">
      <c r="A411" s="31">
        <v>9</v>
      </c>
      <c r="B411" s="13">
        <v>46040</v>
      </c>
      <c r="C411" s="61">
        <v>10018823</v>
      </c>
      <c r="D411" s="30" t="s">
        <v>548</v>
      </c>
      <c r="E411" s="30" t="s">
        <v>548</v>
      </c>
      <c r="F411" s="15" t="s">
        <v>1335</v>
      </c>
      <c r="G411" s="69">
        <v>46163</v>
      </c>
      <c r="H411" s="15" t="s">
        <v>251</v>
      </c>
      <c r="I411" s="15"/>
      <c r="J411" s="29">
        <v>45056</v>
      </c>
      <c r="K411" s="29">
        <v>45474</v>
      </c>
      <c r="L411" s="29" t="s">
        <v>211</v>
      </c>
      <c r="M411" s="29" t="s">
        <v>178</v>
      </c>
      <c r="N411" s="29" t="s">
        <v>23</v>
      </c>
      <c r="O411" s="29" t="s">
        <v>212</v>
      </c>
      <c r="P411" s="32"/>
      <c r="Q411" s="14"/>
      <c r="R411" s="37"/>
      <c r="S411" s="38"/>
      <c r="T411" s="30"/>
      <c r="U411" s="39"/>
      <c r="V411" s="40"/>
      <c r="W411" s="39"/>
      <c r="X411" s="41"/>
      <c r="Y411" s="9"/>
      <c r="Z411" s="9"/>
      <c r="AA411" s="9"/>
      <c r="AB411" s="7">
        <v>35474</v>
      </c>
      <c r="AC411" s="33"/>
      <c r="AD411" s="33"/>
      <c r="AE411" s="33"/>
      <c r="AF411" s="50">
        <v>46221</v>
      </c>
      <c r="AG411" s="44"/>
      <c r="AH411" s="45"/>
      <c r="AI411" s="36"/>
      <c r="AJ411" s="36"/>
    </row>
    <row r="412" spans="1:36" x14ac:dyDescent="0.3">
      <c r="A412" s="31">
        <v>47</v>
      </c>
      <c r="B412" s="13">
        <v>46040</v>
      </c>
      <c r="C412" s="61">
        <v>10022259</v>
      </c>
      <c r="D412" s="30" t="s">
        <v>625</v>
      </c>
      <c r="E412" s="30" t="s">
        <v>625</v>
      </c>
      <c r="F412" s="15" t="s">
        <v>411</v>
      </c>
      <c r="G412" s="69">
        <v>46163</v>
      </c>
      <c r="H412" s="15" t="s">
        <v>251</v>
      </c>
      <c r="I412" s="15"/>
      <c r="J412" s="29">
        <v>45587</v>
      </c>
      <c r="K412" s="29">
        <v>45785</v>
      </c>
      <c r="L412" s="29" t="s">
        <v>211</v>
      </c>
      <c r="M412" s="29" t="s">
        <v>115</v>
      </c>
      <c r="N412" s="29" t="s">
        <v>23</v>
      </c>
      <c r="O412" s="29" t="s">
        <v>212</v>
      </c>
      <c r="P412" s="32"/>
      <c r="Q412" s="14"/>
      <c r="R412" s="37"/>
      <c r="S412" s="38"/>
      <c r="T412" s="30"/>
      <c r="U412" s="39"/>
      <c r="V412" s="40"/>
      <c r="W412" s="39"/>
      <c r="X412" s="41"/>
      <c r="Y412" s="9"/>
      <c r="Z412" s="9"/>
      <c r="AA412" s="9"/>
      <c r="AB412" s="7">
        <v>15438</v>
      </c>
      <c r="AC412" s="33"/>
      <c r="AD412" s="33"/>
      <c r="AE412" s="33"/>
      <c r="AF412" s="50">
        <v>46221</v>
      </c>
      <c r="AG412" s="44"/>
      <c r="AH412" s="45"/>
      <c r="AI412" s="36"/>
      <c r="AJ412" s="36"/>
    </row>
    <row r="413" spans="1:36" x14ac:dyDescent="0.3">
      <c r="A413" s="31">
        <v>76</v>
      </c>
      <c r="B413" s="13">
        <v>46040</v>
      </c>
      <c r="C413" s="61">
        <v>30017845</v>
      </c>
      <c r="D413" s="30" t="s">
        <v>663</v>
      </c>
      <c r="E413" s="30" t="s">
        <v>663</v>
      </c>
      <c r="F413" s="15" t="s">
        <v>432</v>
      </c>
      <c r="G413" s="69">
        <v>46163</v>
      </c>
      <c r="H413" s="15" t="s">
        <v>251</v>
      </c>
      <c r="I413" s="15"/>
      <c r="J413" s="29">
        <v>45810</v>
      </c>
      <c r="K413" s="29">
        <v>45917</v>
      </c>
      <c r="L413" s="29" t="s">
        <v>228</v>
      </c>
      <c r="M413" s="29" t="s">
        <v>149</v>
      </c>
      <c r="N413" s="29" t="s">
        <v>40</v>
      </c>
      <c r="O413" s="29" t="s">
        <v>221</v>
      </c>
      <c r="P413" s="32"/>
      <c r="Q413" s="14"/>
      <c r="R413" s="37"/>
      <c r="S413" s="38"/>
      <c r="T413" s="30"/>
      <c r="U413" s="39"/>
      <c r="V413" s="40"/>
      <c r="W413" s="39"/>
      <c r="X413" s="41"/>
      <c r="Y413" s="9"/>
      <c r="Z413" s="9"/>
      <c r="AA413" s="9"/>
      <c r="AB413" s="7">
        <v>9036</v>
      </c>
      <c r="AC413" s="33"/>
      <c r="AD413" s="33"/>
      <c r="AE413" s="33"/>
      <c r="AF413" s="50">
        <v>46221</v>
      </c>
      <c r="AG413" s="44"/>
      <c r="AH413" s="45"/>
      <c r="AI413" s="36"/>
      <c r="AJ413" s="36"/>
    </row>
    <row r="414" spans="1:36" x14ac:dyDescent="0.3">
      <c r="A414" s="31"/>
      <c r="B414" s="13">
        <v>46127</v>
      </c>
      <c r="C414" s="70">
        <v>10021324</v>
      </c>
      <c r="D414" s="30" t="s">
        <v>1114</v>
      </c>
      <c r="E414" s="30" t="s">
        <v>1114</v>
      </c>
      <c r="F414" s="65" t="s">
        <v>1011</v>
      </c>
      <c r="G414" s="69">
        <v>46163</v>
      </c>
      <c r="H414" s="15" t="s">
        <v>251</v>
      </c>
      <c r="I414" s="15"/>
      <c r="J414" s="29">
        <v>45467</v>
      </c>
      <c r="K414" s="29">
        <v>45995</v>
      </c>
      <c r="L414" s="29" t="s">
        <v>218</v>
      </c>
      <c r="M414" s="29" t="s">
        <v>326</v>
      </c>
      <c r="N414" s="29" t="s">
        <v>30</v>
      </c>
      <c r="O414" s="29" t="s">
        <v>217</v>
      </c>
      <c r="P414" s="32"/>
      <c r="Q414" s="14" t="s">
        <v>1222</v>
      </c>
      <c r="R414" s="37"/>
      <c r="S414" s="38"/>
      <c r="T414" s="30"/>
      <c r="U414" s="39"/>
      <c r="V414" s="40"/>
      <c r="W414" s="39"/>
      <c r="X414" s="41"/>
      <c r="Y414" s="9"/>
      <c r="Z414" s="9"/>
      <c r="AA414" s="9"/>
      <c r="AB414" s="7">
        <v>31861</v>
      </c>
      <c r="AC414" s="33"/>
      <c r="AD414" s="33"/>
      <c r="AE414" s="33"/>
      <c r="AF414" s="66">
        <v>46310</v>
      </c>
      <c r="AG414" s="44"/>
      <c r="AH414" s="45"/>
      <c r="AI414" s="36"/>
      <c r="AJ414" s="36"/>
    </row>
    <row r="415" spans="1:36" x14ac:dyDescent="0.3">
      <c r="A415" s="43"/>
      <c r="B415" s="13">
        <v>46127</v>
      </c>
      <c r="C415" s="70">
        <v>10023855</v>
      </c>
      <c r="D415" s="30" t="s">
        <v>1110</v>
      </c>
      <c r="E415" s="30" t="s">
        <v>1110</v>
      </c>
      <c r="F415" s="65" t="s">
        <v>961</v>
      </c>
      <c r="G415" s="69">
        <v>46163</v>
      </c>
      <c r="H415" s="15" t="s">
        <v>251</v>
      </c>
      <c r="I415" s="15"/>
      <c r="J415" s="29">
        <v>45798</v>
      </c>
      <c r="K415" s="29">
        <v>45934</v>
      </c>
      <c r="L415" s="29" t="s">
        <v>211</v>
      </c>
      <c r="M415" s="29" t="s">
        <v>97</v>
      </c>
      <c r="N415" s="29" t="s">
        <v>23</v>
      </c>
      <c r="O415" s="29" t="s">
        <v>212</v>
      </c>
      <c r="P415" s="32"/>
      <c r="Q415" s="14" t="s">
        <v>1222</v>
      </c>
      <c r="R415" s="37"/>
      <c r="S415" s="38"/>
      <c r="T415" s="30"/>
      <c r="U415" s="39"/>
      <c r="V415" s="40"/>
      <c r="W415" s="39"/>
      <c r="X415" s="41"/>
      <c r="Y415" s="9"/>
      <c r="Z415" s="9"/>
      <c r="AA415" s="9"/>
      <c r="AB415" s="7">
        <v>7479</v>
      </c>
      <c r="AC415" s="33"/>
      <c r="AD415" s="33"/>
      <c r="AE415" s="33"/>
      <c r="AF415" s="66">
        <v>46310</v>
      </c>
      <c r="AG415" s="44"/>
      <c r="AH415" s="45"/>
      <c r="AI415" s="36"/>
      <c r="AJ415" s="36"/>
    </row>
    <row r="416" spans="1:36" x14ac:dyDescent="0.3">
      <c r="A416" s="31"/>
      <c r="B416" s="13">
        <v>46147</v>
      </c>
      <c r="C416" s="70">
        <v>10020309</v>
      </c>
      <c r="D416" s="30" t="s">
        <v>1278</v>
      </c>
      <c r="E416" s="30" t="s">
        <v>1278</v>
      </c>
      <c r="F416" s="65" t="s">
        <v>1240</v>
      </c>
      <c r="G416" s="69">
        <v>46163</v>
      </c>
      <c r="H416" s="15" t="s">
        <v>251</v>
      </c>
      <c r="I416" s="15"/>
      <c r="J416" s="29">
        <v>45288</v>
      </c>
      <c r="K416" s="29">
        <v>45910</v>
      </c>
      <c r="L416" s="29" t="s">
        <v>211</v>
      </c>
      <c r="M416" s="29" t="s">
        <v>136</v>
      </c>
      <c r="N416" s="29" t="s">
        <v>16</v>
      </c>
      <c r="O416" s="29" t="s">
        <v>212</v>
      </c>
      <c r="P416" s="32"/>
      <c r="Q416" s="14" t="s">
        <v>1222</v>
      </c>
      <c r="R416" s="37"/>
      <c r="S416" s="38"/>
      <c r="T416" s="30"/>
      <c r="U416" s="39"/>
      <c r="V416" s="40"/>
      <c r="W416" s="39"/>
      <c r="X416" s="41"/>
      <c r="Y416" s="9"/>
      <c r="Z416" s="9"/>
      <c r="AA416" s="9"/>
      <c r="AB416" s="7">
        <v>38714</v>
      </c>
      <c r="AC416" s="33"/>
      <c r="AD416" s="33"/>
      <c r="AE416" s="33"/>
      <c r="AF416" s="66">
        <v>46331</v>
      </c>
      <c r="AG416" s="44"/>
      <c r="AH416" s="45"/>
      <c r="AI416" s="36"/>
      <c r="AJ416" s="36"/>
    </row>
    <row r="417" spans="1:36" x14ac:dyDescent="0.3">
      <c r="A417" s="31"/>
      <c r="B417" s="13">
        <v>46147</v>
      </c>
      <c r="C417" s="70">
        <v>10269</v>
      </c>
      <c r="D417" s="30" t="s">
        <v>1289</v>
      </c>
      <c r="E417" s="30" t="s">
        <v>1290</v>
      </c>
      <c r="F417" s="65" t="s">
        <v>1260</v>
      </c>
      <c r="G417" s="69">
        <v>46163</v>
      </c>
      <c r="H417" s="15" t="s">
        <v>251</v>
      </c>
      <c r="I417" s="15"/>
      <c r="J417" s="29">
        <v>43046</v>
      </c>
      <c r="K417" s="29">
        <v>45901</v>
      </c>
      <c r="L417" s="29" t="s">
        <v>219</v>
      </c>
      <c r="M417" s="29" t="s">
        <v>135</v>
      </c>
      <c r="N417" s="29" t="s">
        <v>16</v>
      </c>
      <c r="O417" s="29" t="s">
        <v>214</v>
      </c>
      <c r="P417" s="32"/>
      <c r="Q417" s="14" t="s">
        <v>1222</v>
      </c>
      <c r="R417" s="37"/>
      <c r="S417" s="38"/>
      <c r="T417" s="30"/>
      <c r="U417" s="39"/>
      <c r="V417" s="40"/>
      <c r="W417" s="39"/>
      <c r="X417" s="41"/>
      <c r="Y417" s="9"/>
      <c r="Z417" s="9"/>
      <c r="AA417" s="9"/>
      <c r="AB417" s="7">
        <v>369773</v>
      </c>
      <c r="AC417" s="33"/>
      <c r="AD417" s="33"/>
      <c r="AE417" s="33"/>
      <c r="AF417" s="66">
        <v>46331</v>
      </c>
      <c r="AG417" s="44"/>
      <c r="AH417" s="45"/>
      <c r="AI417" s="36"/>
      <c r="AJ417" s="36"/>
    </row>
    <row r="418" spans="1:36" x14ac:dyDescent="0.3">
      <c r="A418" s="31"/>
      <c r="B418" s="13">
        <v>46147</v>
      </c>
      <c r="C418" s="70">
        <v>10016977</v>
      </c>
      <c r="D418" s="30">
        <v>8801774747712</v>
      </c>
      <c r="E418" s="30">
        <v>1774747712</v>
      </c>
      <c r="F418" s="65" t="s">
        <v>1262</v>
      </c>
      <c r="G418" s="69">
        <v>46163</v>
      </c>
      <c r="H418" s="15" t="s">
        <v>251</v>
      </c>
      <c r="I418" s="15" t="s">
        <v>1224</v>
      </c>
      <c r="J418" s="29">
        <v>44713</v>
      </c>
      <c r="K418" s="29">
        <v>45901</v>
      </c>
      <c r="L418" s="29" t="s">
        <v>219</v>
      </c>
      <c r="M418" s="29" t="s">
        <v>127</v>
      </c>
      <c r="N418" s="29" t="s">
        <v>23</v>
      </c>
      <c r="O418" s="29" t="s">
        <v>214</v>
      </c>
      <c r="P418" s="32">
        <v>45292</v>
      </c>
      <c r="Q418" s="14" t="s">
        <v>1222</v>
      </c>
      <c r="R418" s="37"/>
      <c r="S418" s="38"/>
      <c r="T418" s="30"/>
      <c r="U418" s="39"/>
      <c r="V418" s="40"/>
      <c r="W418" s="39"/>
      <c r="X418" s="41"/>
      <c r="Y418" s="9"/>
      <c r="Z418" s="9"/>
      <c r="AA418" s="9"/>
      <c r="AB418" s="7">
        <v>2057</v>
      </c>
      <c r="AC418" s="33"/>
      <c r="AD418" s="33"/>
      <c r="AE418" s="33"/>
      <c r="AF418" s="66">
        <v>46331</v>
      </c>
      <c r="AG418" s="44"/>
      <c r="AH418" s="45"/>
      <c r="AI418" s="36"/>
      <c r="AJ418" s="36"/>
    </row>
    <row r="419" spans="1:36" x14ac:dyDescent="0.3">
      <c r="A419" s="31"/>
      <c r="B419" s="13">
        <v>46127</v>
      </c>
      <c r="C419" s="70">
        <v>3464</v>
      </c>
      <c r="D419" s="30" t="s">
        <v>1156</v>
      </c>
      <c r="E419" s="30" t="s">
        <v>1156</v>
      </c>
      <c r="F419" s="65" t="s">
        <v>981</v>
      </c>
      <c r="G419" s="69">
        <v>46166</v>
      </c>
      <c r="H419" s="15" t="s">
        <v>251</v>
      </c>
      <c r="I419" s="15"/>
      <c r="J419" s="29">
        <v>40634</v>
      </c>
      <c r="K419" s="29">
        <v>45961</v>
      </c>
      <c r="L419" s="29" t="s">
        <v>1211</v>
      </c>
      <c r="M419" s="29" t="s">
        <v>94</v>
      </c>
      <c r="N419" s="29" t="s">
        <v>17</v>
      </c>
      <c r="O419" s="29" t="s">
        <v>233</v>
      </c>
      <c r="P419" s="32">
        <v>44927</v>
      </c>
      <c r="Q419" s="14" t="s">
        <v>1222</v>
      </c>
      <c r="R419" s="37"/>
      <c r="S419" s="38"/>
      <c r="T419" s="30"/>
      <c r="U419" s="39"/>
      <c r="V419" s="40"/>
      <c r="W419" s="39"/>
      <c r="X419" s="41"/>
      <c r="Y419" s="9"/>
      <c r="Z419" s="9"/>
      <c r="AA419" s="9"/>
      <c r="AB419" s="7">
        <v>671119</v>
      </c>
      <c r="AC419" s="33"/>
      <c r="AD419" s="33"/>
      <c r="AE419" s="33"/>
      <c r="AF419" s="66">
        <v>46310</v>
      </c>
      <c r="AG419" s="44"/>
      <c r="AH419" s="45"/>
      <c r="AI419" s="36"/>
      <c r="AJ419" s="36"/>
    </row>
    <row r="420" spans="1:36" x14ac:dyDescent="0.3">
      <c r="A420" s="31"/>
      <c r="B420" s="13">
        <v>46127</v>
      </c>
      <c r="C420" s="70">
        <v>10019587</v>
      </c>
      <c r="D420" s="30" t="s">
        <v>1184</v>
      </c>
      <c r="E420" s="30" t="s">
        <v>1184</v>
      </c>
      <c r="F420" s="65" t="s">
        <v>1033</v>
      </c>
      <c r="G420" s="69">
        <v>46166</v>
      </c>
      <c r="H420" s="15" t="s">
        <v>251</v>
      </c>
      <c r="I420" s="15"/>
      <c r="J420" s="29">
        <v>45172</v>
      </c>
      <c r="K420" s="29">
        <v>45961</v>
      </c>
      <c r="L420" s="29" t="s">
        <v>226</v>
      </c>
      <c r="M420" s="29" t="s">
        <v>170</v>
      </c>
      <c r="N420" s="29" t="s">
        <v>17</v>
      </c>
      <c r="O420" s="29" t="s">
        <v>221</v>
      </c>
      <c r="P420" s="32"/>
      <c r="Q420" s="14" t="s">
        <v>1222</v>
      </c>
      <c r="R420" s="37"/>
      <c r="S420" s="38"/>
      <c r="T420" s="30"/>
      <c r="U420" s="39"/>
      <c r="V420" s="40"/>
      <c r="W420" s="39"/>
      <c r="X420" s="41"/>
      <c r="Y420" s="9"/>
      <c r="Z420" s="9"/>
      <c r="AA420" s="9"/>
      <c r="AB420" s="7">
        <v>37725</v>
      </c>
      <c r="AC420" s="33"/>
      <c r="AD420" s="33"/>
      <c r="AE420" s="33"/>
      <c r="AF420" s="66">
        <v>46310</v>
      </c>
      <c r="AG420" s="44"/>
      <c r="AH420" s="45"/>
      <c r="AI420" s="36"/>
      <c r="AJ420" s="36"/>
    </row>
    <row r="421" spans="1:36" x14ac:dyDescent="0.3">
      <c r="A421" s="31"/>
      <c r="B421" s="13">
        <v>46147</v>
      </c>
      <c r="C421" s="70">
        <v>5077</v>
      </c>
      <c r="D421" s="30">
        <v>8801911830677</v>
      </c>
      <c r="E421" s="30">
        <v>8800005077</v>
      </c>
      <c r="F421" s="65" t="s">
        <v>20</v>
      </c>
      <c r="G421" s="69">
        <v>46166</v>
      </c>
      <c r="H421" s="15" t="s">
        <v>251</v>
      </c>
      <c r="I421" s="15"/>
      <c r="J421" s="29">
        <v>41241</v>
      </c>
      <c r="K421" s="29">
        <v>45992</v>
      </c>
      <c r="L421" s="29" t="s">
        <v>216</v>
      </c>
      <c r="M421" s="29" t="s">
        <v>98</v>
      </c>
      <c r="N421" s="29" t="s">
        <v>23</v>
      </c>
      <c r="O421" s="29" t="s">
        <v>217</v>
      </c>
      <c r="P421" s="32"/>
      <c r="Q421" s="14" t="s">
        <v>1222</v>
      </c>
      <c r="R421" s="37"/>
      <c r="S421" s="38"/>
      <c r="T421" s="30"/>
      <c r="U421" s="39"/>
      <c r="V421" s="40"/>
      <c r="W421" s="39"/>
      <c r="X421" s="41"/>
      <c r="Y421" s="9"/>
      <c r="Z421" s="9"/>
      <c r="AA421" s="9"/>
      <c r="AB421" s="7">
        <v>1056286</v>
      </c>
      <c r="AC421" s="33"/>
      <c r="AD421" s="33"/>
      <c r="AE421" s="33"/>
      <c r="AF421" s="66">
        <v>46331</v>
      </c>
      <c r="AG421" s="44"/>
      <c r="AH421" s="45"/>
      <c r="AI421" s="36"/>
      <c r="AJ421" s="36"/>
    </row>
    <row r="422" spans="1:36" x14ac:dyDescent="0.3">
      <c r="A422" s="31"/>
      <c r="B422" s="13">
        <v>46147</v>
      </c>
      <c r="C422" s="70">
        <v>10016962</v>
      </c>
      <c r="D422" s="30">
        <v>8801722675731</v>
      </c>
      <c r="E422" s="30">
        <v>1722675731</v>
      </c>
      <c r="F422" s="65" t="s">
        <v>1231</v>
      </c>
      <c r="G422" s="69">
        <v>46166</v>
      </c>
      <c r="H422" s="15" t="s">
        <v>251</v>
      </c>
      <c r="I422" s="15"/>
      <c r="J422" s="29">
        <v>44709</v>
      </c>
      <c r="K422" s="29">
        <v>45911</v>
      </c>
      <c r="L422" s="29" t="s">
        <v>211</v>
      </c>
      <c r="M422" s="29" t="s">
        <v>146</v>
      </c>
      <c r="N422" s="29" t="s">
        <v>23</v>
      </c>
      <c r="O422" s="29" t="s">
        <v>212</v>
      </c>
      <c r="P422" s="32"/>
      <c r="Q422" s="14" t="s">
        <v>1222</v>
      </c>
      <c r="R422" s="37"/>
      <c r="S422" s="38"/>
      <c r="T422" s="30"/>
      <c r="U422" s="39"/>
      <c r="V422" s="40"/>
      <c r="W422" s="39"/>
      <c r="X422" s="41"/>
      <c r="Y422" s="9"/>
      <c r="Z422" s="9"/>
      <c r="AA422" s="9"/>
      <c r="AB422" s="7">
        <v>143263</v>
      </c>
      <c r="AC422" s="33"/>
      <c r="AD422" s="33"/>
      <c r="AE422" s="33"/>
      <c r="AF422" s="66">
        <v>46331</v>
      </c>
      <c r="AG422" s="44"/>
      <c r="AH422" s="45"/>
      <c r="AI422" s="36"/>
      <c r="AJ422" s="36"/>
    </row>
    <row r="423" spans="1:36" x14ac:dyDescent="0.3">
      <c r="B423" s="13">
        <v>46147</v>
      </c>
      <c r="C423" s="60">
        <v>10019522</v>
      </c>
      <c r="D423" s="30" t="s">
        <v>1277</v>
      </c>
      <c r="E423" s="30" t="s">
        <v>1277</v>
      </c>
      <c r="F423" s="65" t="s">
        <v>1238</v>
      </c>
      <c r="G423" s="69">
        <v>46166</v>
      </c>
      <c r="H423" s="15" t="s">
        <v>251</v>
      </c>
      <c r="I423" s="15"/>
      <c r="J423" s="29">
        <v>45180</v>
      </c>
      <c r="K423" s="29">
        <v>45809</v>
      </c>
      <c r="L423" s="29" t="s">
        <v>211</v>
      </c>
      <c r="M423" s="29" t="s">
        <v>151</v>
      </c>
      <c r="N423" s="29" t="s">
        <v>24</v>
      </c>
      <c r="O423" s="29" t="s">
        <v>212</v>
      </c>
      <c r="P423" s="32"/>
      <c r="Q423" s="14" t="s">
        <v>1222</v>
      </c>
      <c r="R423" s="37"/>
      <c r="S423" s="38"/>
      <c r="T423" s="30"/>
      <c r="U423" s="39"/>
      <c r="V423" s="40"/>
      <c r="W423" s="39"/>
      <c r="X423" s="41"/>
      <c r="Y423" s="9"/>
      <c r="Z423" s="9"/>
      <c r="AA423" s="9"/>
      <c r="AB423" s="7">
        <v>58287</v>
      </c>
      <c r="AC423" s="33"/>
      <c r="AD423" s="33"/>
      <c r="AE423" s="33"/>
      <c r="AF423" s="66">
        <v>46331</v>
      </c>
    </row>
    <row r="424" spans="1:36" x14ac:dyDescent="0.3">
      <c r="B424" s="13">
        <v>46147</v>
      </c>
      <c r="C424" s="60">
        <v>10019892</v>
      </c>
      <c r="D424" s="30" t="s">
        <v>1279</v>
      </c>
      <c r="E424" s="30" t="s">
        <v>1279</v>
      </c>
      <c r="F424" s="65" t="s">
        <v>1241</v>
      </c>
      <c r="G424" s="69">
        <v>46166</v>
      </c>
      <c r="H424" s="15" t="s">
        <v>251</v>
      </c>
      <c r="I424" s="15"/>
      <c r="J424" s="29">
        <v>45235</v>
      </c>
      <c r="K424" s="29">
        <v>45906</v>
      </c>
      <c r="L424" s="29" t="s">
        <v>211</v>
      </c>
      <c r="M424" s="29" t="s">
        <v>135</v>
      </c>
      <c r="N424" s="29" t="s">
        <v>16</v>
      </c>
      <c r="O424" s="29" t="s">
        <v>212</v>
      </c>
      <c r="P424" s="32"/>
      <c r="Q424" s="14" t="s">
        <v>1222</v>
      </c>
      <c r="R424" s="37"/>
      <c r="S424" s="38"/>
      <c r="T424" s="30"/>
      <c r="U424" s="39"/>
      <c r="V424" s="40"/>
      <c r="W424" s="39"/>
      <c r="X424" s="41"/>
      <c r="Y424" s="9"/>
      <c r="Z424" s="9"/>
      <c r="AA424" s="9"/>
      <c r="AB424" s="7">
        <v>48198</v>
      </c>
      <c r="AC424" s="33"/>
      <c r="AD424" s="33"/>
      <c r="AE424" s="33"/>
      <c r="AF424" s="66">
        <v>46331</v>
      </c>
    </row>
    <row r="425" spans="1:36" x14ac:dyDescent="0.3">
      <c r="B425" s="13">
        <v>46147</v>
      </c>
      <c r="C425" s="60">
        <v>10021648</v>
      </c>
      <c r="D425" s="30">
        <v>8801798987584</v>
      </c>
      <c r="E425" s="30">
        <v>8801798987584</v>
      </c>
      <c r="F425" s="65" t="s">
        <v>1245</v>
      </c>
      <c r="G425" s="69">
        <v>46166</v>
      </c>
      <c r="H425" s="15" t="s">
        <v>251</v>
      </c>
      <c r="I425" s="15"/>
      <c r="J425" s="29">
        <v>45516</v>
      </c>
      <c r="K425" s="29">
        <v>45911</v>
      </c>
      <c r="L425" s="29" t="s">
        <v>220</v>
      </c>
      <c r="M425" s="29" t="s">
        <v>99</v>
      </c>
      <c r="N425" s="29" t="s">
        <v>17</v>
      </c>
      <c r="O425" s="29" t="s">
        <v>221</v>
      </c>
      <c r="P425" s="32"/>
      <c r="Q425" s="14" t="s">
        <v>1222</v>
      </c>
      <c r="R425" s="37"/>
      <c r="S425" s="38"/>
      <c r="T425" s="30"/>
      <c r="U425" s="39"/>
      <c r="V425" s="40"/>
      <c r="W425" s="39"/>
      <c r="X425" s="41"/>
      <c r="Y425" s="9"/>
      <c r="Z425" s="9"/>
      <c r="AA425" s="9"/>
      <c r="AB425" s="7">
        <v>28592</v>
      </c>
      <c r="AC425" s="33"/>
      <c r="AD425" s="33"/>
      <c r="AE425" s="33"/>
      <c r="AF425" s="66">
        <v>46331</v>
      </c>
    </row>
    <row r="426" spans="1:36" x14ac:dyDescent="0.3">
      <c r="A426" s="43"/>
      <c r="B426" s="13">
        <v>46127</v>
      </c>
      <c r="C426" s="60">
        <v>10022287</v>
      </c>
      <c r="D426" s="30" t="s">
        <v>1118</v>
      </c>
      <c r="E426" s="30" t="s">
        <v>1118</v>
      </c>
      <c r="F426" s="65" t="s">
        <v>1040</v>
      </c>
      <c r="G426" s="69">
        <v>46155</v>
      </c>
      <c r="H426" s="15" t="s">
        <v>251</v>
      </c>
      <c r="I426" s="63" t="s">
        <v>916</v>
      </c>
      <c r="J426" s="29">
        <v>45602</v>
      </c>
      <c r="K426" s="29">
        <v>45943</v>
      </c>
      <c r="L426" s="29" t="s">
        <v>211</v>
      </c>
      <c r="M426" s="29" t="s">
        <v>181</v>
      </c>
      <c r="N426" s="29" t="s">
        <v>23</v>
      </c>
      <c r="O426" s="29" t="s">
        <v>212</v>
      </c>
      <c r="P426" s="32"/>
      <c r="Q426" s="14" t="s">
        <v>1222</v>
      </c>
      <c r="R426" s="37"/>
      <c r="S426" s="38"/>
      <c r="T426" s="30"/>
      <c r="U426" s="39"/>
      <c r="V426" s="40"/>
      <c r="W426" s="39"/>
      <c r="X426" s="41"/>
      <c r="Y426" s="9"/>
      <c r="Z426" s="9"/>
      <c r="AA426" s="9"/>
      <c r="AB426" s="7">
        <v>1497466</v>
      </c>
      <c r="AC426" s="33"/>
      <c r="AD426" s="33"/>
      <c r="AE426" s="33"/>
      <c r="AF426" s="66">
        <v>46310</v>
      </c>
      <c r="AG426" s="44"/>
      <c r="AH426" s="45"/>
      <c r="AI426" s="36"/>
      <c r="AJ426" s="36"/>
    </row>
    <row r="427" spans="1:36" x14ac:dyDescent="0.3">
      <c r="A427" s="31"/>
      <c r="B427" s="13">
        <v>46147</v>
      </c>
      <c r="C427" s="60">
        <v>10020256</v>
      </c>
      <c r="D427" s="30">
        <v>8801629671553</v>
      </c>
      <c r="E427" s="30">
        <v>8801629671553</v>
      </c>
      <c r="F427" s="65" t="s">
        <v>1242</v>
      </c>
      <c r="G427" s="71">
        <v>46173</v>
      </c>
      <c r="H427" s="15" t="s">
        <v>251</v>
      </c>
      <c r="I427" s="15"/>
      <c r="J427" s="29">
        <v>45289</v>
      </c>
      <c r="K427" s="29">
        <v>45839</v>
      </c>
      <c r="L427" s="29" t="s">
        <v>211</v>
      </c>
      <c r="M427" s="29" t="s">
        <v>876</v>
      </c>
      <c r="N427" s="29" t="s">
        <v>25</v>
      </c>
      <c r="O427" s="29" t="s">
        <v>212</v>
      </c>
      <c r="P427" s="32"/>
      <c r="Q427" s="14" t="s">
        <v>1222</v>
      </c>
      <c r="R427" s="37"/>
      <c r="S427" s="38"/>
      <c r="T427" s="30"/>
      <c r="U427" s="39"/>
      <c r="V427" s="40"/>
      <c r="W427" s="39"/>
      <c r="X427" s="41"/>
      <c r="Y427" s="9"/>
      <c r="Z427" s="9"/>
      <c r="AA427" s="9"/>
      <c r="AB427" s="7">
        <v>45064</v>
      </c>
      <c r="AC427" s="33"/>
      <c r="AD427" s="33"/>
      <c r="AE427" s="33"/>
      <c r="AF427" s="66">
        <v>46331</v>
      </c>
      <c r="AG427" s="44"/>
      <c r="AH427" s="45"/>
      <c r="AI427" s="36"/>
      <c r="AJ427" s="36"/>
    </row>
    <row r="428" spans="1:36" x14ac:dyDescent="0.3">
      <c r="A428" s="31"/>
      <c r="B428" s="13">
        <v>46147</v>
      </c>
      <c r="C428" s="60">
        <v>16041</v>
      </c>
      <c r="D428" s="30">
        <v>8801641415816</v>
      </c>
      <c r="E428" s="30">
        <v>1831715646</v>
      </c>
      <c r="F428" s="65" t="s">
        <v>1243</v>
      </c>
      <c r="G428" s="71">
        <v>46173</v>
      </c>
      <c r="H428" s="15" t="s">
        <v>251</v>
      </c>
      <c r="I428" s="15"/>
      <c r="J428" s="29">
        <v>44457</v>
      </c>
      <c r="K428" s="29">
        <v>45931</v>
      </c>
      <c r="L428" s="29" t="s">
        <v>220</v>
      </c>
      <c r="M428" s="29" t="s">
        <v>150</v>
      </c>
      <c r="N428" s="29" t="s">
        <v>17</v>
      </c>
      <c r="O428" s="29" t="s">
        <v>221</v>
      </c>
      <c r="P428" s="32"/>
      <c r="Q428" s="14" t="s">
        <v>1222</v>
      </c>
      <c r="R428" s="37"/>
      <c r="S428" s="38"/>
      <c r="T428" s="30"/>
      <c r="U428" s="39"/>
      <c r="V428" s="40"/>
      <c r="W428" s="39"/>
      <c r="X428" s="41"/>
      <c r="Y428" s="9"/>
      <c r="Z428" s="9"/>
      <c r="AA428" s="9"/>
      <c r="AB428" s="7">
        <v>79526</v>
      </c>
      <c r="AC428" s="33"/>
      <c r="AD428" s="33"/>
      <c r="AE428" s="33"/>
      <c r="AF428" s="66">
        <v>46331</v>
      </c>
      <c r="AG428" s="44"/>
      <c r="AH428" s="45"/>
      <c r="AI428" s="36"/>
      <c r="AJ428" s="36"/>
    </row>
    <row r="429" spans="1:36" x14ac:dyDescent="0.3">
      <c r="A429" s="31"/>
      <c r="B429" s="13">
        <v>46147</v>
      </c>
      <c r="C429" s="60">
        <v>10019492</v>
      </c>
      <c r="D429" s="30">
        <v>8801736884353</v>
      </c>
      <c r="E429" s="30">
        <v>8801736884353</v>
      </c>
      <c r="F429" s="65" t="s">
        <v>1244</v>
      </c>
      <c r="G429" s="71">
        <v>46175</v>
      </c>
      <c r="H429" s="15" t="s">
        <v>251</v>
      </c>
      <c r="I429" s="15"/>
      <c r="J429" s="29">
        <v>45174</v>
      </c>
      <c r="K429" s="29">
        <v>45991</v>
      </c>
      <c r="L429" s="29" t="s">
        <v>219</v>
      </c>
      <c r="M429" s="29" t="s">
        <v>138</v>
      </c>
      <c r="N429" s="29" t="s">
        <v>23</v>
      </c>
      <c r="O429" s="29" t="s">
        <v>214</v>
      </c>
      <c r="P429" s="32"/>
      <c r="Q429" s="14" t="s">
        <v>1222</v>
      </c>
      <c r="R429" s="37"/>
      <c r="S429" s="38"/>
      <c r="T429" s="30"/>
      <c r="U429" s="39"/>
      <c r="V429" s="40"/>
      <c r="W429" s="39"/>
      <c r="X429" s="41"/>
      <c r="Y429" s="9"/>
      <c r="Z429" s="9"/>
      <c r="AA429" s="9"/>
      <c r="AB429" s="7">
        <v>39607</v>
      </c>
      <c r="AC429" s="33"/>
      <c r="AD429" s="33"/>
      <c r="AE429" s="33"/>
      <c r="AF429" s="66">
        <v>46331</v>
      </c>
      <c r="AG429" s="44"/>
      <c r="AH429" s="45"/>
      <c r="AI429" s="36"/>
      <c r="AJ429" s="36"/>
    </row>
    <row r="430" spans="1:36" x14ac:dyDescent="0.3">
      <c r="A430" s="31"/>
      <c r="B430" s="13">
        <v>46147</v>
      </c>
      <c r="C430" s="60">
        <v>10021649</v>
      </c>
      <c r="D430" s="30">
        <v>1876318889</v>
      </c>
      <c r="E430" s="30">
        <v>8801712069983</v>
      </c>
      <c r="F430" s="65" t="s">
        <v>1264</v>
      </c>
      <c r="G430" s="71">
        <v>46175</v>
      </c>
      <c r="H430" s="15" t="s">
        <v>251</v>
      </c>
      <c r="I430" s="15"/>
      <c r="J430" s="29">
        <v>45505</v>
      </c>
      <c r="K430" s="29">
        <v>45809</v>
      </c>
      <c r="L430" s="29" t="s">
        <v>220</v>
      </c>
      <c r="M430" s="29" t="s">
        <v>128</v>
      </c>
      <c r="N430" s="29" t="s">
        <v>17</v>
      </c>
      <c r="O430" s="29" t="s">
        <v>221</v>
      </c>
      <c r="P430" s="32"/>
      <c r="Q430" s="14" t="s">
        <v>1222</v>
      </c>
      <c r="R430" s="37"/>
      <c r="S430" s="38"/>
      <c r="T430" s="30"/>
      <c r="U430" s="39"/>
      <c r="V430" s="40"/>
      <c r="W430" s="39"/>
      <c r="X430" s="41"/>
      <c r="Y430" s="9"/>
      <c r="Z430" s="9"/>
      <c r="AA430" s="9"/>
      <c r="AB430" s="7">
        <v>11191</v>
      </c>
      <c r="AC430" s="33"/>
      <c r="AD430" s="33"/>
      <c r="AE430" s="33"/>
      <c r="AF430" s="66">
        <v>46331</v>
      </c>
      <c r="AG430" s="44"/>
      <c r="AH430" s="45"/>
      <c r="AI430" s="36"/>
      <c r="AJ430" s="36"/>
    </row>
    <row r="431" spans="1:36" x14ac:dyDescent="0.3">
      <c r="A431" s="43"/>
      <c r="B431" s="13">
        <v>46127</v>
      </c>
      <c r="C431" s="60">
        <v>10019353</v>
      </c>
      <c r="D431" s="30" t="s">
        <v>1161</v>
      </c>
      <c r="E431" s="30" t="s">
        <v>1161</v>
      </c>
      <c r="F431" s="65" t="s">
        <v>1020</v>
      </c>
      <c r="G431" s="71">
        <v>46176</v>
      </c>
      <c r="H431" s="15" t="s">
        <v>251</v>
      </c>
      <c r="I431" s="15"/>
      <c r="J431" s="29">
        <v>45143</v>
      </c>
      <c r="K431" s="29">
        <v>45976</v>
      </c>
      <c r="L431" s="29" t="s">
        <v>219</v>
      </c>
      <c r="M431" s="29" t="s">
        <v>111</v>
      </c>
      <c r="N431" s="29" t="s">
        <v>23</v>
      </c>
      <c r="O431" s="29" t="s">
        <v>214</v>
      </c>
      <c r="P431" s="32"/>
      <c r="Q431" s="14" t="s">
        <v>1222</v>
      </c>
      <c r="R431" s="37"/>
      <c r="S431" s="38"/>
      <c r="T431" s="30"/>
      <c r="U431" s="39"/>
      <c r="V431" s="40"/>
      <c r="W431" s="39"/>
      <c r="X431" s="41"/>
      <c r="Y431" s="9"/>
      <c r="Z431" s="9"/>
      <c r="AA431" s="9"/>
      <c r="AB431" s="7">
        <v>65820</v>
      </c>
      <c r="AC431" s="33"/>
      <c r="AD431" s="33"/>
      <c r="AE431" s="33"/>
      <c r="AF431" s="66">
        <v>46310</v>
      </c>
      <c r="AG431" s="44"/>
      <c r="AH431" s="45"/>
      <c r="AI431" s="36"/>
      <c r="AJ431" s="36"/>
    </row>
    <row r="432" spans="1:36" x14ac:dyDescent="0.3">
      <c r="A432" s="31"/>
      <c r="B432" s="13">
        <v>46147</v>
      </c>
      <c r="C432" s="60">
        <v>10019542</v>
      </c>
      <c r="D432" s="30">
        <v>8801628353965</v>
      </c>
      <c r="E432" s="30">
        <v>8801628353965</v>
      </c>
      <c r="F432" s="65" t="s">
        <v>337</v>
      </c>
      <c r="G432" s="71">
        <v>46176</v>
      </c>
      <c r="H432" s="15" t="s">
        <v>251</v>
      </c>
      <c r="I432" s="15"/>
      <c r="J432" s="29">
        <v>45183</v>
      </c>
      <c r="K432" s="29">
        <v>45931</v>
      </c>
      <c r="L432" s="29" t="s">
        <v>211</v>
      </c>
      <c r="M432" s="29" t="s">
        <v>183</v>
      </c>
      <c r="N432" s="29" t="s">
        <v>23</v>
      </c>
      <c r="O432" s="29" t="s">
        <v>212</v>
      </c>
      <c r="P432" s="32"/>
      <c r="Q432" s="14" t="s">
        <v>1222</v>
      </c>
      <c r="R432" s="37"/>
      <c r="S432" s="38"/>
      <c r="T432" s="30"/>
      <c r="U432" s="39"/>
      <c r="V432" s="40"/>
      <c r="W432" s="39"/>
      <c r="X432" s="41"/>
      <c r="Y432" s="9"/>
      <c r="Z432" s="9"/>
      <c r="AA432" s="9"/>
      <c r="AB432" s="7">
        <v>94479</v>
      </c>
      <c r="AC432" s="33"/>
      <c r="AD432" s="33"/>
      <c r="AE432" s="33"/>
      <c r="AF432" s="66">
        <v>46331</v>
      </c>
      <c r="AG432" s="44"/>
      <c r="AH432" s="45"/>
      <c r="AI432" s="36"/>
      <c r="AJ432" s="36"/>
    </row>
    <row r="433" spans="1:36" x14ac:dyDescent="0.3">
      <c r="A433" s="31"/>
      <c r="B433" s="13">
        <v>46147</v>
      </c>
      <c r="C433" s="60">
        <v>10023871</v>
      </c>
      <c r="D433" s="30">
        <v>8801970729983</v>
      </c>
      <c r="E433" s="30">
        <v>8801970729983</v>
      </c>
      <c r="F433" s="65" t="s">
        <v>9</v>
      </c>
      <c r="G433" s="71">
        <v>46176</v>
      </c>
      <c r="H433" s="15" t="s">
        <v>251</v>
      </c>
      <c r="I433" s="15"/>
      <c r="J433" s="29">
        <v>45806</v>
      </c>
      <c r="K433" s="29">
        <v>45901</v>
      </c>
      <c r="L433" s="29" t="s">
        <v>211</v>
      </c>
      <c r="M433" s="29" t="s">
        <v>118</v>
      </c>
      <c r="N433" s="29" t="s">
        <v>23</v>
      </c>
      <c r="O433" s="29" t="s">
        <v>212</v>
      </c>
      <c r="P433" s="32"/>
      <c r="Q433" s="14" t="s">
        <v>1222</v>
      </c>
      <c r="R433" s="37"/>
      <c r="S433" s="38"/>
      <c r="T433" s="30"/>
      <c r="U433" s="39"/>
      <c r="V433" s="40"/>
      <c r="W433" s="39"/>
      <c r="X433" s="41"/>
      <c r="Y433" s="9"/>
      <c r="Z433" s="9"/>
      <c r="AA433" s="9"/>
      <c r="AB433" s="7">
        <v>9071</v>
      </c>
      <c r="AC433" s="33"/>
      <c r="AD433" s="33"/>
      <c r="AE433" s="33"/>
      <c r="AF433" s="66">
        <v>46331</v>
      </c>
      <c r="AG433" s="44"/>
      <c r="AH433" s="45"/>
      <c r="AI433" s="36"/>
      <c r="AJ433" s="36"/>
    </row>
    <row r="434" spans="1:36" x14ac:dyDescent="0.3">
      <c r="A434" s="31">
        <v>107</v>
      </c>
      <c r="B434" s="13">
        <v>46055</v>
      </c>
      <c r="C434" s="30">
        <v>10022554</v>
      </c>
      <c r="D434" s="30" t="s">
        <v>802</v>
      </c>
      <c r="E434" s="30" t="s">
        <v>802</v>
      </c>
      <c r="F434" s="15" t="s">
        <v>736</v>
      </c>
      <c r="G434" s="71">
        <v>46177</v>
      </c>
      <c r="H434" s="15" t="s">
        <v>251</v>
      </c>
      <c r="I434" s="15"/>
      <c r="J434" s="29">
        <v>45641</v>
      </c>
      <c r="K434" s="29">
        <v>45870</v>
      </c>
      <c r="L434" s="29" t="s">
        <v>236</v>
      </c>
      <c r="M434" s="29" t="s">
        <v>768</v>
      </c>
      <c r="N434" s="29" t="s">
        <v>24</v>
      </c>
      <c r="O434" s="29" t="s">
        <v>212</v>
      </c>
      <c r="P434" s="32"/>
      <c r="Q434" s="14"/>
      <c r="R434" s="37"/>
      <c r="S434" s="38"/>
      <c r="T434" s="30"/>
      <c r="U434" s="39"/>
      <c r="V434" s="40"/>
      <c r="W434" s="39"/>
      <c r="X434" s="41"/>
      <c r="Y434" s="9"/>
      <c r="Z434" s="9"/>
      <c r="AA434" s="9"/>
      <c r="AB434" s="7">
        <v>7600</v>
      </c>
      <c r="AC434" s="33"/>
      <c r="AD434" s="33"/>
      <c r="AE434" s="33"/>
      <c r="AF434" s="50">
        <v>46289</v>
      </c>
      <c r="AG434" s="44"/>
      <c r="AH434" s="45"/>
      <c r="AI434" s="36"/>
      <c r="AJ434" s="36"/>
    </row>
    <row r="435" spans="1:36" x14ac:dyDescent="0.3">
      <c r="A435" s="31"/>
      <c r="B435" s="13">
        <v>46147</v>
      </c>
      <c r="C435" s="60">
        <v>16341</v>
      </c>
      <c r="D435" s="30" t="s">
        <v>1274</v>
      </c>
      <c r="E435" s="30" t="s">
        <v>1300</v>
      </c>
      <c r="F435" s="65" t="s">
        <v>1232</v>
      </c>
      <c r="G435" s="71">
        <v>46177</v>
      </c>
      <c r="H435" s="15" t="s">
        <v>251</v>
      </c>
      <c r="I435" s="63" t="s">
        <v>916</v>
      </c>
      <c r="J435" s="29">
        <v>44572</v>
      </c>
      <c r="K435" s="29">
        <v>45907</v>
      </c>
      <c r="L435" s="29" t="s">
        <v>219</v>
      </c>
      <c r="M435" s="29" t="s">
        <v>130</v>
      </c>
      <c r="N435" s="29" t="s">
        <v>23</v>
      </c>
      <c r="O435" s="29" t="s">
        <v>214</v>
      </c>
      <c r="P435" s="32">
        <v>45292</v>
      </c>
      <c r="Q435" s="14" t="s">
        <v>1222</v>
      </c>
      <c r="R435" s="37"/>
      <c r="S435" s="38"/>
      <c r="T435" s="30"/>
      <c r="U435" s="39"/>
      <c r="V435" s="40"/>
      <c r="W435" s="39"/>
      <c r="X435" s="41"/>
      <c r="Y435" s="9"/>
      <c r="Z435" s="9"/>
      <c r="AA435" s="9"/>
      <c r="AB435" s="7">
        <v>139208</v>
      </c>
      <c r="AC435" s="33"/>
      <c r="AD435" s="33"/>
      <c r="AE435" s="33"/>
      <c r="AF435" s="66">
        <v>46331</v>
      </c>
      <c r="AG435" s="44"/>
      <c r="AH435" s="45"/>
      <c r="AI435" s="36"/>
      <c r="AJ435" s="36"/>
    </row>
    <row r="436" spans="1:36" x14ac:dyDescent="0.3">
      <c r="A436" s="31"/>
      <c r="B436" s="13">
        <v>46147</v>
      </c>
      <c r="C436" s="60">
        <v>10023790</v>
      </c>
      <c r="D436" s="30">
        <v>1303197310</v>
      </c>
      <c r="E436" s="30">
        <v>1303197310</v>
      </c>
      <c r="F436" s="65" t="s">
        <v>1249</v>
      </c>
      <c r="G436" s="71">
        <v>46177</v>
      </c>
      <c r="H436" s="15" t="s">
        <v>251</v>
      </c>
      <c r="I436" s="15"/>
      <c r="J436" s="29">
        <v>45778</v>
      </c>
      <c r="K436" s="29">
        <v>45977</v>
      </c>
      <c r="L436" s="29" t="s">
        <v>226</v>
      </c>
      <c r="M436" s="29" t="s">
        <v>170</v>
      </c>
      <c r="N436" s="29" t="s">
        <v>17</v>
      </c>
      <c r="O436" s="29" t="s">
        <v>221</v>
      </c>
      <c r="P436" s="32"/>
      <c r="Q436" s="14" t="s">
        <v>1222</v>
      </c>
      <c r="R436" s="37"/>
      <c r="S436" s="38"/>
      <c r="T436" s="30"/>
      <c r="U436" s="39"/>
      <c r="V436" s="40"/>
      <c r="W436" s="39"/>
      <c r="X436" s="41"/>
      <c r="Y436" s="9"/>
      <c r="Z436" s="9"/>
      <c r="AA436" s="9"/>
      <c r="AB436" s="7">
        <v>21459</v>
      </c>
      <c r="AC436" s="33"/>
      <c r="AD436" s="33"/>
      <c r="AE436" s="33"/>
      <c r="AF436" s="66">
        <v>46331</v>
      </c>
      <c r="AG436" s="44"/>
      <c r="AH436" s="45"/>
      <c r="AI436" s="36"/>
      <c r="AJ436" s="36"/>
    </row>
    <row r="437" spans="1:36" x14ac:dyDescent="0.3">
      <c r="A437" s="31"/>
      <c r="B437" s="13">
        <v>46147</v>
      </c>
      <c r="C437" s="60">
        <v>10023789</v>
      </c>
      <c r="D437" s="30">
        <v>8801968823151</v>
      </c>
      <c r="E437" s="30">
        <v>1716338155</v>
      </c>
      <c r="F437" s="65" t="s">
        <v>1250</v>
      </c>
      <c r="G437" s="71">
        <v>46177</v>
      </c>
      <c r="H437" s="15" t="s">
        <v>251</v>
      </c>
      <c r="I437" s="15"/>
      <c r="J437" s="29">
        <v>45778</v>
      </c>
      <c r="K437" s="29">
        <v>45906</v>
      </c>
      <c r="L437" s="29" t="s">
        <v>1266</v>
      </c>
      <c r="M437" s="29" t="s">
        <v>128</v>
      </c>
      <c r="N437" s="29" t="s">
        <v>17</v>
      </c>
      <c r="O437" s="29" t="s">
        <v>227</v>
      </c>
      <c r="P437" s="32"/>
      <c r="Q437" s="14" t="s">
        <v>1222</v>
      </c>
      <c r="R437" s="37"/>
      <c r="S437" s="38"/>
      <c r="T437" s="30"/>
      <c r="U437" s="39"/>
      <c r="V437" s="40"/>
      <c r="W437" s="39"/>
      <c r="X437" s="41"/>
      <c r="Y437" s="9"/>
      <c r="Z437" s="9"/>
      <c r="AA437" s="9"/>
      <c r="AB437" s="7">
        <v>14752</v>
      </c>
      <c r="AC437" s="33"/>
      <c r="AD437" s="33"/>
      <c r="AE437" s="33"/>
      <c r="AF437" s="66">
        <v>46331</v>
      </c>
      <c r="AG437" s="44"/>
      <c r="AH437" s="45"/>
      <c r="AI437" s="36"/>
      <c r="AJ437" s="36"/>
    </row>
    <row r="438" spans="1:36" x14ac:dyDescent="0.3">
      <c r="A438" s="31"/>
      <c r="B438" s="13"/>
      <c r="C438" s="60">
        <v>10023706</v>
      </c>
      <c r="D438" s="30"/>
      <c r="E438" s="30"/>
      <c r="F438" s="65" t="s">
        <v>1303</v>
      </c>
      <c r="G438" s="71">
        <v>46180</v>
      </c>
      <c r="H438" s="15" t="s">
        <v>251</v>
      </c>
      <c r="I438" s="15"/>
      <c r="J438" s="29"/>
      <c r="K438" s="29"/>
      <c r="L438" s="29"/>
      <c r="M438" s="29"/>
      <c r="N438" s="29"/>
      <c r="O438" s="29"/>
      <c r="P438" s="32"/>
      <c r="Q438" s="14"/>
      <c r="R438" s="37"/>
      <c r="S438" s="38"/>
      <c r="T438" s="30"/>
      <c r="U438" s="39"/>
      <c r="V438" s="40"/>
      <c r="W438" s="39"/>
      <c r="X438" s="41"/>
      <c r="Y438" s="9"/>
      <c r="Z438" s="9"/>
      <c r="AA438" s="9"/>
      <c r="AB438" s="7"/>
      <c r="AC438" s="33"/>
      <c r="AD438" s="33"/>
      <c r="AE438" s="33"/>
      <c r="AF438" s="66"/>
      <c r="AG438" s="44"/>
      <c r="AH438" s="45"/>
      <c r="AI438" s="36"/>
      <c r="AJ438" s="36"/>
    </row>
    <row r="439" spans="1:36" x14ac:dyDescent="0.3">
      <c r="A439" s="31"/>
      <c r="B439" s="13">
        <v>46084</v>
      </c>
      <c r="C439" s="30">
        <v>10022638</v>
      </c>
      <c r="D439" s="61">
        <v>8801903120528</v>
      </c>
      <c r="E439" s="61">
        <v>8801903120528</v>
      </c>
      <c r="F439" s="15" t="s">
        <v>864</v>
      </c>
      <c r="G439" s="71">
        <v>46180</v>
      </c>
      <c r="H439" s="15" t="s">
        <v>251</v>
      </c>
      <c r="I439" s="15"/>
      <c r="J439" s="29">
        <v>45654</v>
      </c>
      <c r="K439" s="29">
        <v>45809</v>
      </c>
      <c r="L439" s="29" t="s">
        <v>211</v>
      </c>
      <c r="M439" s="29" t="s">
        <v>142</v>
      </c>
      <c r="N439" s="29" t="s">
        <v>23</v>
      </c>
      <c r="O439" s="29" t="s">
        <v>212</v>
      </c>
      <c r="P439" s="32"/>
      <c r="Q439" s="14"/>
      <c r="R439" s="37"/>
      <c r="S439" s="38"/>
      <c r="T439" s="30"/>
      <c r="U439" s="39"/>
      <c r="V439" s="40"/>
      <c r="W439" s="39"/>
      <c r="X439" s="41"/>
      <c r="Y439" s="9"/>
      <c r="Z439" s="9"/>
      <c r="AA439" s="9"/>
      <c r="AB439" s="7">
        <v>5479</v>
      </c>
      <c r="AC439" s="33"/>
      <c r="AD439" s="33"/>
      <c r="AE439" s="33"/>
      <c r="AF439" s="50">
        <v>46344</v>
      </c>
      <c r="AG439" s="44"/>
      <c r="AH439" s="45"/>
      <c r="AI439" s="36"/>
      <c r="AJ439" s="36"/>
    </row>
    <row r="440" spans="1:36" x14ac:dyDescent="0.3">
      <c r="A440" s="31"/>
      <c r="B440" s="13">
        <v>46147</v>
      </c>
      <c r="C440" s="60">
        <v>14954</v>
      </c>
      <c r="D440" s="30">
        <v>1760941106</v>
      </c>
      <c r="E440" s="30" t="s">
        <v>1299</v>
      </c>
      <c r="F440" s="65" t="s">
        <v>1229</v>
      </c>
      <c r="G440" s="71">
        <v>46180</v>
      </c>
      <c r="H440" s="15" t="s">
        <v>251</v>
      </c>
      <c r="I440" s="63" t="s">
        <v>916</v>
      </c>
      <c r="J440" s="29">
        <v>44241</v>
      </c>
      <c r="K440" s="29">
        <v>45930</v>
      </c>
      <c r="L440" s="29" t="s">
        <v>219</v>
      </c>
      <c r="M440" s="29" t="s">
        <v>311</v>
      </c>
      <c r="N440" s="29" t="s">
        <v>23</v>
      </c>
      <c r="O440" s="29" t="s">
        <v>214</v>
      </c>
      <c r="P440" s="32">
        <v>44927</v>
      </c>
      <c r="Q440" s="14" t="s">
        <v>1222</v>
      </c>
      <c r="R440" s="37"/>
      <c r="S440" s="38"/>
      <c r="T440" s="30"/>
      <c r="U440" s="39"/>
      <c r="V440" s="40"/>
      <c r="W440" s="39"/>
      <c r="X440" s="41"/>
      <c r="Y440" s="9"/>
      <c r="Z440" s="9"/>
      <c r="AA440" s="9"/>
      <c r="AB440" s="7">
        <v>209668</v>
      </c>
      <c r="AC440" s="33"/>
      <c r="AD440" s="33"/>
      <c r="AE440" s="33"/>
      <c r="AF440" s="66">
        <v>46331</v>
      </c>
      <c r="AG440" s="44"/>
      <c r="AH440" s="45"/>
      <c r="AI440" s="36"/>
      <c r="AJ440" s="36"/>
    </row>
    <row r="441" spans="1:36" x14ac:dyDescent="0.3">
      <c r="A441" s="31"/>
      <c r="B441" s="13">
        <v>46147</v>
      </c>
      <c r="C441" s="60">
        <v>3018</v>
      </c>
      <c r="D441" s="30" t="s">
        <v>1287</v>
      </c>
      <c r="E441" s="30" t="s">
        <v>1288</v>
      </c>
      <c r="F441" s="65" t="s">
        <v>1259</v>
      </c>
      <c r="G441" s="71">
        <v>46180</v>
      </c>
      <c r="H441" s="15" t="s">
        <v>251</v>
      </c>
      <c r="I441" s="15"/>
      <c r="J441" s="29">
        <v>40331</v>
      </c>
      <c r="K441" s="29">
        <v>45870</v>
      </c>
      <c r="L441" s="29" t="s">
        <v>219</v>
      </c>
      <c r="M441" s="29" t="s">
        <v>164</v>
      </c>
      <c r="N441" s="29" t="s">
        <v>23</v>
      </c>
      <c r="O441" s="29" t="s">
        <v>214</v>
      </c>
      <c r="P441" s="32"/>
      <c r="Q441" s="14" t="s">
        <v>1222</v>
      </c>
      <c r="R441" s="37"/>
      <c r="S441" s="38"/>
      <c r="T441" s="30"/>
      <c r="U441" s="39"/>
      <c r="V441" s="40"/>
      <c r="W441" s="39"/>
      <c r="X441" s="41"/>
      <c r="Y441" s="9"/>
      <c r="Z441" s="9"/>
      <c r="AA441" s="9"/>
      <c r="AB441" s="7">
        <v>1056656</v>
      </c>
      <c r="AC441" s="33"/>
      <c r="AD441" s="33"/>
      <c r="AE441" s="33"/>
      <c r="AF441" s="66">
        <v>46331</v>
      </c>
      <c r="AG441" s="44"/>
      <c r="AH441" s="45"/>
      <c r="AI441" s="36"/>
      <c r="AJ441" s="36"/>
    </row>
    <row r="442" spans="1:36" x14ac:dyDescent="0.3">
      <c r="A442" s="43"/>
      <c r="B442" s="13">
        <v>46127</v>
      </c>
      <c r="C442" s="60">
        <v>10022643</v>
      </c>
      <c r="D442" s="30" t="s">
        <v>1103</v>
      </c>
      <c r="E442" s="30" t="s">
        <v>1103</v>
      </c>
      <c r="F442" s="65" t="s">
        <v>957</v>
      </c>
      <c r="G442" s="71">
        <v>46181</v>
      </c>
      <c r="H442" s="15" t="s">
        <v>251</v>
      </c>
      <c r="I442" s="15"/>
      <c r="J442" s="29">
        <v>45641</v>
      </c>
      <c r="K442" s="29">
        <v>45748</v>
      </c>
      <c r="L442" s="29" t="s">
        <v>211</v>
      </c>
      <c r="M442" s="29" t="s">
        <v>345</v>
      </c>
      <c r="N442" s="29" t="s">
        <v>23</v>
      </c>
      <c r="O442" s="29" t="s">
        <v>212</v>
      </c>
      <c r="P442" s="32"/>
      <c r="Q442" s="14" t="s">
        <v>1222</v>
      </c>
      <c r="R442" s="37"/>
      <c r="S442" s="38"/>
      <c r="T442" s="30"/>
      <c r="U442" s="39"/>
      <c r="V442" s="40"/>
      <c r="W442" s="39"/>
      <c r="X442" s="41"/>
      <c r="Y442" s="9"/>
      <c r="Z442" s="9"/>
      <c r="AA442" s="9"/>
      <c r="AB442" s="7">
        <v>9846</v>
      </c>
      <c r="AC442" s="33"/>
      <c r="AD442" s="33"/>
      <c r="AE442" s="33"/>
      <c r="AF442" s="66">
        <v>46310</v>
      </c>
      <c r="AG442" s="44"/>
      <c r="AH442" s="45"/>
      <c r="AI442" s="36"/>
      <c r="AJ442" s="36"/>
    </row>
    <row r="443" spans="1:36" x14ac:dyDescent="0.3">
      <c r="A443" s="31"/>
      <c r="B443" s="13">
        <v>46147</v>
      </c>
      <c r="C443" s="60">
        <v>10016999</v>
      </c>
      <c r="D443" s="30">
        <v>8801894929149</v>
      </c>
      <c r="E443" s="30">
        <v>1735748254</v>
      </c>
      <c r="F443" s="65" t="s">
        <v>1235</v>
      </c>
      <c r="G443" s="71">
        <v>46181</v>
      </c>
      <c r="H443" s="15" t="s">
        <v>251</v>
      </c>
      <c r="I443" s="15"/>
      <c r="J443" s="29">
        <v>44716</v>
      </c>
      <c r="K443" s="29">
        <v>46012</v>
      </c>
      <c r="L443" s="29" t="s">
        <v>219</v>
      </c>
      <c r="M443" s="29" t="s">
        <v>108</v>
      </c>
      <c r="N443" s="29" t="s">
        <v>23</v>
      </c>
      <c r="O443" s="29" t="s">
        <v>214</v>
      </c>
      <c r="P443" s="32">
        <v>45658</v>
      </c>
      <c r="Q443" s="14" t="s">
        <v>1222</v>
      </c>
      <c r="R443" s="37"/>
      <c r="S443" s="38"/>
      <c r="T443" s="30"/>
      <c r="U443" s="39"/>
      <c r="V443" s="40"/>
      <c r="W443" s="39"/>
      <c r="X443" s="41"/>
      <c r="Y443" s="9"/>
      <c r="Z443" s="9"/>
      <c r="AA443" s="9"/>
      <c r="AB443" s="7">
        <v>110332</v>
      </c>
      <c r="AC443" s="33"/>
      <c r="AD443" s="33"/>
      <c r="AE443" s="33"/>
      <c r="AF443" s="66">
        <v>46331</v>
      </c>
      <c r="AG443" s="44"/>
      <c r="AH443" s="45"/>
      <c r="AI443" s="36"/>
      <c r="AJ443" s="36"/>
    </row>
    <row r="444" spans="1:36" x14ac:dyDescent="0.3">
      <c r="A444" s="31"/>
      <c r="B444" s="13">
        <v>46147</v>
      </c>
      <c r="C444" s="60">
        <v>10984</v>
      </c>
      <c r="D444" s="30">
        <v>8801601570597</v>
      </c>
      <c r="E444" s="30">
        <v>1938795775</v>
      </c>
      <c r="F444" s="65" t="s">
        <v>1237</v>
      </c>
      <c r="G444" s="71">
        <v>46181</v>
      </c>
      <c r="H444" s="15" t="s">
        <v>251</v>
      </c>
      <c r="I444" s="15"/>
      <c r="J444" s="29">
        <v>43225</v>
      </c>
      <c r="K444" s="29">
        <v>45977</v>
      </c>
      <c r="L444" s="29" t="s">
        <v>234</v>
      </c>
      <c r="M444" s="29" t="s">
        <v>112</v>
      </c>
      <c r="N444" s="29" t="s">
        <v>17</v>
      </c>
      <c r="O444" s="29" t="s">
        <v>227</v>
      </c>
      <c r="P444" s="32">
        <v>44562</v>
      </c>
      <c r="Q444" s="14" t="s">
        <v>1222</v>
      </c>
      <c r="R444" s="37"/>
      <c r="S444" s="38"/>
      <c r="T444" s="30"/>
      <c r="U444" s="39"/>
      <c r="V444" s="40"/>
      <c r="W444" s="39"/>
      <c r="X444" s="41"/>
      <c r="Y444" s="9"/>
      <c r="Z444" s="9"/>
      <c r="AA444" s="9"/>
      <c r="AB444" s="7">
        <v>243543</v>
      </c>
      <c r="AC444" s="33"/>
      <c r="AD444" s="33"/>
      <c r="AE444" s="33"/>
      <c r="AF444" s="66">
        <v>46331</v>
      </c>
      <c r="AG444" s="44"/>
      <c r="AH444" s="45"/>
      <c r="AI444" s="36"/>
      <c r="AJ444" s="36"/>
    </row>
    <row r="445" spans="1:36" x14ac:dyDescent="0.3">
      <c r="A445" s="31">
        <v>292</v>
      </c>
      <c r="B445" s="13">
        <v>45879</v>
      </c>
      <c r="C445" s="37" t="s">
        <v>57</v>
      </c>
      <c r="D445" s="14">
        <v>8801977392484</v>
      </c>
      <c r="E445" s="14"/>
      <c r="F445" s="14" t="s">
        <v>58</v>
      </c>
      <c r="G445" s="71">
        <v>46182</v>
      </c>
      <c r="H445" s="15" t="s">
        <v>251</v>
      </c>
      <c r="I445" s="49">
        <v>44838</v>
      </c>
      <c r="J445" s="49">
        <v>45658</v>
      </c>
      <c r="K445" s="49" t="s">
        <v>211</v>
      </c>
      <c r="L445" s="29" t="s">
        <v>135</v>
      </c>
      <c r="M445" s="29" t="s">
        <v>16</v>
      </c>
      <c r="N445" s="29" t="s">
        <v>212</v>
      </c>
      <c r="O445" s="28"/>
      <c r="P445" s="16" t="s">
        <v>204</v>
      </c>
      <c r="Q445" s="17" t="s">
        <v>205</v>
      </c>
      <c r="R445" s="7">
        <v>15445</v>
      </c>
      <c r="S445" s="8" t="s">
        <v>206</v>
      </c>
      <c r="T445" s="7">
        <v>19748</v>
      </c>
      <c r="U445" s="8">
        <v>0</v>
      </c>
      <c r="V445" s="7">
        <v>0</v>
      </c>
      <c r="W445" s="8">
        <v>0</v>
      </c>
      <c r="X445" s="7">
        <v>0</v>
      </c>
      <c r="Y445" s="9"/>
      <c r="Z445" s="9"/>
      <c r="AA445" s="10">
        <v>35193</v>
      </c>
      <c r="AB445" s="18"/>
      <c r="AC445" s="18"/>
      <c r="AD445" s="18"/>
      <c r="AE445" s="50">
        <f t="shared" ref="AE445" si="9">EDATE(B445,6)</f>
        <v>46063</v>
      </c>
      <c r="AF445" s="44"/>
      <c r="AG445" s="45"/>
      <c r="AH445" s="36"/>
      <c r="AI445" s="35" t="s">
        <v>203</v>
      </c>
    </row>
    <row r="446" spans="1:36" x14ac:dyDescent="0.3">
      <c r="A446" s="31">
        <v>44</v>
      </c>
      <c r="B446" s="13">
        <v>46040</v>
      </c>
      <c r="C446" s="30">
        <v>10022131</v>
      </c>
      <c r="D446" s="30" t="s">
        <v>620</v>
      </c>
      <c r="E446" s="30" t="s">
        <v>620</v>
      </c>
      <c r="F446" s="15" t="s">
        <v>403</v>
      </c>
      <c r="G446" s="71">
        <v>46182</v>
      </c>
      <c r="H446" s="15" t="s">
        <v>251</v>
      </c>
      <c r="I446" s="15"/>
      <c r="J446" s="29">
        <v>45572</v>
      </c>
      <c r="K446" s="29">
        <v>45755</v>
      </c>
      <c r="L446" s="29" t="s">
        <v>211</v>
      </c>
      <c r="M446" s="29" t="s">
        <v>115</v>
      </c>
      <c r="N446" s="29" t="s">
        <v>23</v>
      </c>
      <c r="O446" s="29" t="s">
        <v>212</v>
      </c>
      <c r="P446" s="32"/>
      <c r="Q446" s="14"/>
      <c r="R446" s="37"/>
      <c r="S446" s="38"/>
      <c r="T446" s="30"/>
      <c r="U446" s="39"/>
      <c r="V446" s="40"/>
      <c r="W446" s="39"/>
      <c r="X446" s="41"/>
      <c r="Y446" s="9"/>
      <c r="Z446" s="9"/>
      <c r="AA446" s="9"/>
      <c r="AB446" s="7">
        <v>19911</v>
      </c>
      <c r="AC446" s="33"/>
      <c r="AD446" s="33"/>
      <c r="AE446" s="33"/>
      <c r="AF446" s="50">
        <v>46221</v>
      </c>
      <c r="AG446" s="44"/>
      <c r="AH446" s="45"/>
      <c r="AI446" s="36"/>
      <c r="AJ446" s="36"/>
    </row>
    <row r="447" spans="1:36" x14ac:dyDescent="0.3">
      <c r="A447" s="31"/>
      <c r="B447" s="13">
        <v>46127</v>
      </c>
      <c r="C447" s="60">
        <v>13875</v>
      </c>
      <c r="D447" s="30" t="s">
        <v>1151</v>
      </c>
      <c r="E447" s="30" t="s">
        <v>1298</v>
      </c>
      <c r="F447" s="65" t="s">
        <v>980</v>
      </c>
      <c r="G447" s="71">
        <v>46182</v>
      </c>
      <c r="H447" s="15" t="s">
        <v>251</v>
      </c>
      <c r="I447" s="63" t="s">
        <v>916</v>
      </c>
      <c r="J447" s="29">
        <v>43862</v>
      </c>
      <c r="K447" s="29">
        <v>45949</v>
      </c>
      <c r="L447" s="29" t="s">
        <v>302</v>
      </c>
      <c r="M447" s="29" t="s">
        <v>125</v>
      </c>
      <c r="N447" s="29" t="s">
        <v>17</v>
      </c>
      <c r="O447" s="29" t="s">
        <v>229</v>
      </c>
      <c r="P447" s="32">
        <v>45292</v>
      </c>
      <c r="Q447" s="14" t="s">
        <v>1222</v>
      </c>
      <c r="R447" s="37"/>
      <c r="S447" s="38"/>
      <c r="T447" s="30"/>
      <c r="U447" s="39"/>
      <c r="V447" s="40"/>
      <c r="W447" s="39"/>
      <c r="X447" s="41"/>
      <c r="Y447" s="9"/>
      <c r="Z447" s="9"/>
      <c r="AA447" s="9"/>
      <c r="AB447" s="7">
        <v>214509</v>
      </c>
      <c r="AC447" s="33"/>
      <c r="AD447" s="33"/>
      <c r="AE447" s="33"/>
      <c r="AF447" s="66">
        <v>46310</v>
      </c>
      <c r="AG447" s="44"/>
      <c r="AH447" s="45"/>
      <c r="AI447" s="36"/>
      <c r="AJ447" s="36"/>
    </row>
    <row r="448" spans="1:36" x14ac:dyDescent="0.3">
      <c r="A448" s="31"/>
      <c r="B448" s="13">
        <v>46147</v>
      </c>
      <c r="C448" s="60">
        <v>10021806</v>
      </c>
      <c r="D448" s="30">
        <v>8801733839804</v>
      </c>
      <c r="E448" s="30">
        <v>1759512523</v>
      </c>
      <c r="F448" s="65" t="s">
        <v>1256</v>
      </c>
      <c r="G448" s="71">
        <v>46182</v>
      </c>
      <c r="H448" s="15" t="s">
        <v>251</v>
      </c>
      <c r="I448" s="15"/>
      <c r="J448" s="29">
        <v>45543</v>
      </c>
      <c r="K448" s="29">
        <v>45838</v>
      </c>
      <c r="L448" s="29" t="s">
        <v>220</v>
      </c>
      <c r="M448" s="29" t="s">
        <v>107</v>
      </c>
      <c r="N448" s="29" t="s">
        <v>17</v>
      </c>
      <c r="O448" s="29" t="s">
        <v>221</v>
      </c>
      <c r="P448" s="32"/>
      <c r="Q448" s="14" t="s">
        <v>1222</v>
      </c>
      <c r="R448" s="37"/>
      <c r="S448" s="38"/>
      <c r="T448" s="30"/>
      <c r="U448" s="39"/>
      <c r="V448" s="40"/>
      <c r="W448" s="39"/>
      <c r="X448" s="41"/>
      <c r="Y448" s="9"/>
      <c r="Z448" s="9"/>
      <c r="AA448" s="9"/>
      <c r="AB448" s="7">
        <v>9172</v>
      </c>
      <c r="AC448" s="33"/>
      <c r="AD448" s="33"/>
      <c r="AE448" s="33"/>
      <c r="AF448" s="66">
        <v>46331</v>
      </c>
      <c r="AG448" s="44"/>
      <c r="AH448" s="45"/>
      <c r="AI448" s="36"/>
      <c r="AJ448" s="36"/>
    </row>
    <row r="449" spans="1:37" x14ac:dyDescent="0.3">
      <c r="A449" s="31"/>
      <c r="B449" s="13"/>
      <c r="C449" s="60">
        <v>5636</v>
      </c>
      <c r="D449" s="30"/>
      <c r="E449" s="30"/>
      <c r="F449" s="65"/>
      <c r="G449" s="71">
        <v>46182</v>
      </c>
      <c r="H449" s="15" t="s">
        <v>251</v>
      </c>
      <c r="I449" s="15"/>
      <c r="J449" s="29"/>
      <c r="K449" s="29"/>
      <c r="L449" s="29"/>
      <c r="M449" s="29"/>
      <c r="N449" s="29"/>
      <c r="O449" s="29"/>
      <c r="P449" s="32"/>
      <c r="Q449" s="14"/>
      <c r="R449" s="37"/>
      <c r="S449" s="38"/>
      <c r="T449" s="30"/>
      <c r="U449" s="39"/>
      <c r="V449" s="40"/>
      <c r="W449" s="39"/>
      <c r="X449" s="41"/>
      <c r="Y449" s="9"/>
      <c r="Z449" s="9"/>
      <c r="AA449" s="9"/>
      <c r="AB449" s="7"/>
      <c r="AC449" s="33"/>
      <c r="AD449" s="33"/>
      <c r="AE449" s="33"/>
      <c r="AF449" s="66"/>
      <c r="AG449" s="44"/>
      <c r="AH449" s="45"/>
      <c r="AI449" s="36"/>
      <c r="AJ449" s="36"/>
    </row>
    <row r="450" spans="1:37" x14ac:dyDescent="0.3">
      <c r="A450" s="43"/>
      <c r="B450" s="13">
        <v>46127</v>
      </c>
      <c r="C450" s="60">
        <v>10018974</v>
      </c>
      <c r="D450" s="30" t="s">
        <v>1187</v>
      </c>
      <c r="E450" s="30" t="s">
        <v>1187</v>
      </c>
      <c r="F450" s="65" t="s">
        <v>87</v>
      </c>
      <c r="G450" s="71">
        <v>46183</v>
      </c>
      <c r="H450" s="15" t="s">
        <v>251</v>
      </c>
      <c r="I450" s="15"/>
      <c r="J450" s="29">
        <v>45087</v>
      </c>
      <c r="K450" s="29">
        <v>45931</v>
      </c>
      <c r="L450" s="29" t="s">
        <v>211</v>
      </c>
      <c r="M450" s="29" t="s">
        <v>92</v>
      </c>
      <c r="N450" s="29" t="s">
        <v>16</v>
      </c>
      <c r="O450" s="29" t="s">
        <v>212</v>
      </c>
      <c r="P450" s="32"/>
      <c r="Q450" s="14" t="s">
        <v>1222</v>
      </c>
      <c r="R450" s="37"/>
      <c r="S450" s="38"/>
      <c r="T450" s="30"/>
      <c r="U450" s="39"/>
      <c r="V450" s="40"/>
      <c r="W450" s="39"/>
      <c r="X450" s="41"/>
      <c r="Y450" s="9"/>
      <c r="Z450" s="9"/>
      <c r="AA450" s="9"/>
      <c r="AB450" s="7">
        <v>14418</v>
      </c>
      <c r="AC450" s="33"/>
      <c r="AD450" s="33"/>
      <c r="AE450" s="33"/>
      <c r="AF450" s="66">
        <v>46310</v>
      </c>
      <c r="AG450" s="44"/>
      <c r="AH450" s="45"/>
      <c r="AI450" s="36"/>
      <c r="AJ450" s="36"/>
    </row>
    <row r="451" spans="1:37" x14ac:dyDescent="0.3">
      <c r="A451" s="31"/>
      <c r="B451" s="13">
        <v>46147</v>
      </c>
      <c r="C451" s="60">
        <v>14044</v>
      </c>
      <c r="D451" s="30" t="s">
        <v>1272</v>
      </c>
      <c r="E451" s="30" t="s">
        <v>1273</v>
      </c>
      <c r="F451" s="65" t="s">
        <v>319</v>
      </c>
      <c r="G451" s="71">
        <v>46183</v>
      </c>
      <c r="H451" s="15" t="s">
        <v>251</v>
      </c>
      <c r="I451" s="15"/>
      <c r="J451" s="29">
        <v>43908</v>
      </c>
      <c r="K451" s="29">
        <v>45566</v>
      </c>
      <c r="L451" s="29" t="s">
        <v>222</v>
      </c>
      <c r="M451" s="29" t="s">
        <v>109</v>
      </c>
      <c r="N451" s="29" t="s">
        <v>23</v>
      </c>
      <c r="O451" s="29" t="s">
        <v>214</v>
      </c>
      <c r="P451" s="32">
        <v>44927</v>
      </c>
      <c r="Q451" s="14" t="s">
        <v>1222</v>
      </c>
      <c r="R451" s="37"/>
      <c r="S451" s="38"/>
      <c r="T451" s="30"/>
      <c r="U451" s="39"/>
      <c r="V451" s="40"/>
      <c r="W451" s="39"/>
      <c r="X451" s="41"/>
      <c r="Y451" s="9"/>
      <c r="Z451" s="9"/>
      <c r="AA451" s="9"/>
      <c r="AB451" s="7">
        <v>193545</v>
      </c>
      <c r="AC451" s="33"/>
      <c r="AD451" s="33"/>
      <c r="AE451" s="33"/>
      <c r="AF451" s="66">
        <v>46331</v>
      </c>
      <c r="AG451" s="44"/>
      <c r="AH451" s="45"/>
      <c r="AI451" s="36"/>
      <c r="AJ451" s="36"/>
    </row>
    <row r="452" spans="1:37" x14ac:dyDescent="0.3">
      <c r="A452" s="31">
        <v>93</v>
      </c>
      <c r="B452" s="13">
        <v>46055</v>
      </c>
      <c r="C452" s="30">
        <v>10020193</v>
      </c>
      <c r="D452" s="30" t="s">
        <v>789</v>
      </c>
      <c r="E452" s="30" t="s">
        <v>789</v>
      </c>
      <c r="F452" s="15" t="s">
        <v>725</v>
      </c>
      <c r="G452" s="69">
        <v>46187</v>
      </c>
      <c r="H452" s="15" t="s">
        <v>251</v>
      </c>
      <c r="I452" s="72" t="s">
        <v>917</v>
      </c>
      <c r="J452" s="15" t="e">
        <v>#N/A</v>
      </c>
      <c r="K452" s="29">
        <v>45287</v>
      </c>
      <c r="L452" s="29">
        <v>45937</v>
      </c>
      <c r="M452" s="29" t="s">
        <v>211</v>
      </c>
      <c r="N452" s="29" t="s">
        <v>92</v>
      </c>
      <c r="O452" s="29" t="s">
        <v>16</v>
      </c>
      <c r="P452" s="29" t="s">
        <v>212</v>
      </c>
      <c r="Q452" s="32"/>
      <c r="R452" s="14"/>
      <c r="S452" s="37"/>
      <c r="T452" s="38"/>
      <c r="U452" s="30"/>
      <c r="V452" s="39"/>
      <c r="W452" s="40"/>
      <c r="X452" s="39"/>
      <c r="Y452" s="41"/>
      <c r="Z452" s="9"/>
      <c r="AA452" s="9"/>
      <c r="AB452" s="9"/>
      <c r="AC452" s="7">
        <v>30246</v>
      </c>
      <c r="AD452" s="33"/>
      <c r="AE452" s="33"/>
      <c r="AF452" s="33"/>
      <c r="AG452" s="50">
        <v>46275</v>
      </c>
      <c r="AH452" s="44"/>
      <c r="AI452" s="45"/>
      <c r="AJ452" s="36"/>
      <c r="AK452" s="36"/>
    </row>
    <row r="453" spans="1:37" x14ac:dyDescent="0.3">
      <c r="A453" s="31"/>
      <c r="B453" s="13">
        <v>46127</v>
      </c>
      <c r="C453" s="60">
        <v>14826</v>
      </c>
      <c r="D453" s="30"/>
      <c r="E453" s="30"/>
      <c r="F453" s="65" t="s">
        <v>939</v>
      </c>
      <c r="G453" s="69">
        <v>46187</v>
      </c>
      <c r="H453" s="15" t="s">
        <v>251</v>
      </c>
      <c r="I453" s="63" t="s">
        <v>916</v>
      </c>
      <c r="J453" s="15" t="s">
        <v>1304</v>
      </c>
      <c r="K453" s="29">
        <v>44228</v>
      </c>
      <c r="L453" s="29">
        <v>46054</v>
      </c>
      <c r="M453" s="29" t="s">
        <v>1206</v>
      </c>
      <c r="N453" s="29" t="s">
        <v>147</v>
      </c>
      <c r="O453" s="29" t="s">
        <v>29</v>
      </c>
      <c r="P453" s="29" t="s">
        <v>229</v>
      </c>
      <c r="Q453" s="32">
        <v>45292</v>
      </c>
      <c r="R453" s="14" t="s">
        <v>1222</v>
      </c>
      <c r="S453" s="37"/>
      <c r="T453" s="38"/>
      <c r="U453" s="30"/>
      <c r="V453" s="39"/>
      <c r="W453" s="40"/>
      <c r="X453" s="39"/>
      <c r="Y453" s="41"/>
      <c r="Z453" s="9"/>
      <c r="AA453" s="9"/>
      <c r="AB453" s="9"/>
      <c r="AC453" s="7">
        <v>176825</v>
      </c>
      <c r="AD453" s="33"/>
      <c r="AE453" s="33"/>
      <c r="AF453" s="33"/>
      <c r="AG453" s="66">
        <v>46310</v>
      </c>
      <c r="AH453" s="44"/>
      <c r="AI453" s="45"/>
      <c r="AJ453" s="36"/>
      <c r="AK453" s="36"/>
    </row>
    <row r="454" spans="1:37" x14ac:dyDescent="0.3">
      <c r="A454" s="43"/>
      <c r="B454" s="13">
        <v>46127</v>
      </c>
      <c r="C454" s="60">
        <v>14374</v>
      </c>
      <c r="D454" s="30" t="s">
        <v>1190</v>
      </c>
      <c r="E454" s="30" t="s">
        <v>1191</v>
      </c>
      <c r="F454" s="65" t="s">
        <v>996</v>
      </c>
      <c r="G454" s="69">
        <v>46187</v>
      </c>
      <c r="H454" s="15" t="s">
        <v>251</v>
      </c>
      <c r="I454" s="63" t="s">
        <v>916</v>
      </c>
      <c r="J454" s="15" t="s">
        <v>1304</v>
      </c>
      <c r="K454" s="29">
        <v>44065</v>
      </c>
      <c r="L454" s="29">
        <v>45697</v>
      </c>
      <c r="M454" s="29" t="s">
        <v>219</v>
      </c>
      <c r="N454" s="29" t="s">
        <v>67</v>
      </c>
      <c r="O454" s="29" t="s">
        <v>24</v>
      </c>
      <c r="P454" s="29" t="s">
        <v>214</v>
      </c>
      <c r="Q454" s="32">
        <v>45292</v>
      </c>
      <c r="R454" s="14" t="s">
        <v>1222</v>
      </c>
      <c r="S454" s="37"/>
      <c r="T454" s="38"/>
      <c r="U454" s="30"/>
      <c r="V454" s="39"/>
      <c r="W454" s="40"/>
      <c r="X454" s="39"/>
      <c r="Y454" s="41"/>
      <c r="Z454" s="9"/>
      <c r="AA454" s="9"/>
      <c r="AB454" s="9"/>
      <c r="AC454" s="7">
        <v>94807</v>
      </c>
      <c r="AD454" s="33"/>
      <c r="AE454" s="33"/>
      <c r="AF454" s="33"/>
      <c r="AG454" s="66">
        <v>46310</v>
      </c>
      <c r="AH454" s="44"/>
      <c r="AI454" s="45"/>
      <c r="AJ454" s="36"/>
      <c r="AK454" s="36"/>
    </row>
    <row r="455" spans="1:37" x14ac:dyDescent="0.3">
      <c r="A455" s="43"/>
      <c r="B455" s="13">
        <v>46127</v>
      </c>
      <c r="C455" s="60">
        <v>10020214</v>
      </c>
      <c r="D455" s="30" t="s">
        <v>1122</v>
      </c>
      <c r="E455" s="30" t="s">
        <v>1302</v>
      </c>
      <c r="F455" s="65" t="s">
        <v>965</v>
      </c>
      <c r="G455" s="69">
        <v>46187</v>
      </c>
      <c r="H455" s="15" t="s">
        <v>251</v>
      </c>
      <c r="I455" s="63" t="s">
        <v>916</v>
      </c>
      <c r="J455" s="15" t="s">
        <v>1307</v>
      </c>
      <c r="K455" s="29">
        <v>45304</v>
      </c>
      <c r="L455" s="29">
        <v>45323</v>
      </c>
      <c r="M455" s="29" t="s">
        <v>211</v>
      </c>
      <c r="N455" s="29" t="s">
        <v>119</v>
      </c>
      <c r="O455" s="29" t="s">
        <v>23</v>
      </c>
      <c r="P455" s="29" t="s">
        <v>212</v>
      </c>
      <c r="Q455" s="32"/>
      <c r="R455" s="14" t="s">
        <v>1222</v>
      </c>
      <c r="S455" s="37"/>
      <c r="T455" s="38"/>
      <c r="U455" s="30"/>
      <c r="V455" s="39"/>
      <c r="W455" s="40"/>
      <c r="X455" s="39"/>
      <c r="Y455" s="41"/>
      <c r="Z455" s="9"/>
      <c r="AA455" s="9"/>
      <c r="AB455" s="9"/>
      <c r="AC455" s="7">
        <v>13394</v>
      </c>
      <c r="AD455" s="33"/>
      <c r="AE455" s="33"/>
      <c r="AF455" s="33"/>
      <c r="AG455" s="66">
        <v>46310</v>
      </c>
      <c r="AH455" s="44"/>
      <c r="AI455" s="45"/>
      <c r="AJ455" s="36"/>
      <c r="AK455" s="36"/>
    </row>
    <row r="456" spans="1:37" x14ac:dyDescent="0.3">
      <c r="A456" s="31"/>
      <c r="B456" s="13">
        <v>46147</v>
      </c>
      <c r="C456" s="60">
        <v>10021619</v>
      </c>
      <c r="D456" s="30">
        <v>8801729537352</v>
      </c>
      <c r="E456" s="30">
        <v>8801729537352</v>
      </c>
      <c r="F456" s="65" t="s">
        <v>1248</v>
      </c>
      <c r="G456" s="69">
        <v>46187</v>
      </c>
      <c r="H456" s="15" t="s">
        <v>251</v>
      </c>
      <c r="I456" s="63" t="s">
        <v>916</v>
      </c>
      <c r="J456" s="15" t="s">
        <v>1304</v>
      </c>
      <c r="K456" s="29">
        <v>45515</v>
      </c>
      <c r="L456" s="29">
        <v>45901</v>
      </c>
      <c r="M456" s="29" t="s">
        <v>220</v>
      </c>
      <c r="N456" s="29" t="s">
        <v>107</v>
      </c>
      <c r="O456" s="29" t="s">
        <v>17</v>
      </c>
      <c r="P456" s="29" t="s">
        <v>221</v>
      </c>
      <c r="Q456" s="32"/>
      <c r="R456" s="14" t="s">
        <v>1222</v>
      </c>
      <c r="S456" s="37"/>
      <c r="T456" s="38"/>
      <c r="U456" s="30"/>
      <c r="V456" s="39"/>
      <c r="W456" s="40"/>
      <c r="X456" s="39"/>
      <c r="Y456" s="41"/>
      <c r="Z456" s="9"/>
      <c r="AA456" s="9"/>
      <c r="AB456" s="9"/>
      <c r="AC456" s="7">
        <v>20996</v>
      </c>
      <c r="AD456" s="33"/>
      <c r="AE456" s="33"/>
      <c r="AF456" s="33"/>
      <c r="AG456" s="66">
        <v>46331</v>
      </c>
      <c r="AH456" s="44"/>
      <c r="AI456" s="45"/>
      <c r="AJ456" s="36"/>
      <c r="AK456" s="36"/>
    </row>
    <row r="457" spans="1:37" x14ac:dyDescent="0.3">
      <c r="A457" s="31"/>
      <c r="B457" s="13">
        <v>46147</v>
      </c>
      <c r="C457" s="60">
        <v>10021742</v>
      </c>
      <c r="D457" s="30">
        <v>8801784986934</v>
      </c>
      <c r="E457" s="30">
        <v>8801784986934</v>
      </c>
      <c r="F457" s="65" t="s">
        <v>38</v>
      </c>
      <c r="G457" s="71">
        <v>46188</v>
      </c>
      <c r="H457" s="15" t="s">
        <v>251</v>
      </c>
      <c r="I457" s="63" t="s">
        <v>916</v>
      </c>
      <c r="J457" s="15" t="s">
        <v>1310</v>
      </c>
      <c r="K457" s="29">
        <v>45505</v>
      </c>
      <c r="L457" s="29">
        <v>45839</v>
      </c>
      <c r="M457" s="29" t="s">
        <v>220</v>
      </c>
      <c r="N457" s="29" t="s">
        <v>165</v>
      </c>
      <c r="O457" s="29" t="s">
        <v>17</v>
      </c>
      <c r="P457" s="29" t="s">
        <v>221</v>
      </c>
      <c r="Q457" s="32"/>
      <c r="R457" s="14" t="s">
        <v>1222</v>
      </c>
      <c r="S457" s="37"/>
      <c r="T457" s="38"/>
      <c r="U457" s="30"/>
      <c r="V457" s="39"/>
      <c r="W457" s="40"/>
      <c r="X457" s="39"/>
      <c r="Y457" s="41"/>
      <c r="Z457" s="9"/>
      <c r="AA457" s="9"/>
      <c r="AB457" s="9"/>
      <c r="AC457" s="7">
        <v>9705</v>
      </c>
      <c r="AD457" s="33"/>
      <c r="AE457" s="33"/>
      <c r="AF457" s="33"/>
      <c r="AG457" s="66">
        <v>46331</v>
      </c>
      <c r="AH457" s="44"/>
      <c r="AI457" s="45"/>
      <c r="AJ457" s="36"/>
      <c r="AK457" s="36"/>
    </row>
    <row r="458" spans="1:37" x14ac:dyDescent="0.3">
      <c r="A458" s="43"/>
      <c r="B458" s="13">
        <v>46127</v>
      </c>
      <c r="C458" s="60">
        <v>11878</v>
      </c>
      <c r="D458" s="30" t="s">
        <v>1134</v>
      </c>
      <c r="E458" s="30" t="s">
        <v>1135</v>
      </c>
      <c r="F458" s="65" t="s">
        <v>972</v>
      </c>
      <c r="G458" s="69">
        <v>46190</v>
      </c>
      <c r="H458" s="15" t="s">
        <v>251</v>
      </c>
      <c r="I458" s="63" t="s">
        <v>916</v>
      </c>
      <c r="J458" s="15" t="s">
        <v>1305</v>
      </c>
      <c r="K458" s="29">
        <v>43454</v>
      </c>
      <c r="L458" s="29">
        <v>45894</v>
      </c>
      <c r="M458" s="29" t="s">
        <v>219</v>
      </c>
      <c r="N458" s="29" t="s">
        <v>1210</v>
      </c>
      <c r="O458" s="29" t="s">
        <v>25</v>
      </c>
      <c r="P458" s="29" t="s">
        <v>214</v>
      </c>
      <c r="Q458" s="32">
        <v>45292</v>
      </c>
      <c r="R458" s="14" t="s">
        <v>1222</v>
      </c>
      <c r="S458" s="37"/>
      <c r="T458" s="38"/>
      <c r="U458" s="30"/>
      <c r="V458" s="39"/>
      <c r="W458" s="40"/>
      <c r="X458" s="39"/>
      <c r="Y458" s="41"/>
      <c r="Z458" s="9"/>
      <c r="AA458" s="9"/>
      <c r="AB458" s="9"/>
      <c r="AC458" s="7">
        <v>384756</v>
      </c>
      <c r="AD458" s="33"/>
      <c r="AE458" s="33"/>
      <c r="AF458" s="33"/>
      <c r="AG458" s="66">
        <v>46310</v>
      </c>
      <c r="AH458" s="44"/>
      <c r="AI458" s="45"/>
      <c r="AJ458" s="36"/>
      <c r="AK458" s="36"/>
    </row>
    <row r="459" spans="1:37" x14ac:dyDescent="0.3">
      <c r="A459" s="31"/>
      <c r="B459" s="13"/>
      <c r="C459" s="60">
        <v>10019355</v>
      </c>
      <c r="D459" s="30"/>
      <c r="E459" s="30"/>
      <c r="F459" s="65" t="s">
        <v>1317</v>
      </c>
      <c r="G459" s="69">
        <v>46190</v>
      </c>
      <c r="H459" s="15" t="s">
        <v>251</v>
      </c>
      <c r="I459" s="63"/>
      <c r="J459" s="15"/>
      <c r="K459" s="29">
        <v>45147</v>
      </c>
      <c r="L459" s="29">
        <v>46057</v>
      </c>
      <c r="M459" s="29" t="s">
        <v>219</v>
      </c>
      <c r="N459" s="29"/>
      <c r="O459" s="29" t="s">
        <v>263</v>
      </c>
      <c r="P459" s="29"/>
      <c r="Q459" s="32"/>
      <c r="R459" s="14"/>
      <c r="S459" s="37"/>
      <c r="T459" s="38"/>
      <c r="U459" s="30"/>
      <c r="V459" s="39"/>
      <c r="W459" s="40"/>
      <c r="X459" s="39"/>
      <c r="Y459" s="41"/>
      <c r="Z459" s="9"/>
      <c r="AA459" s="9"/>
      <c r="AB459" s="9"/>
      <c r="AC459" s="7"/>
      <c r="AD459" s="33"/>
      <c r="AE459" s="33"/>
      <c r="AF459" s="33"/>
      <c r="AG459" s="66"/>
      <c r="AH459" s="44"/>
      <c r="AI459" s="45"/>
      <c r="AJ459" s="36"/>
      <c r="AK459" s="36"/>
    </row>
    <row r="460" spans="1:37" x14ac:dyDescent="0.3">
      <c r="A460" s="31">
        <v>128</v>
      </c>
      <c r="B460" s="13">
        <v>45886</v>
      </c>
      <c r="C460" s="37" t="s">
        <v>89</v>
      </c>
      <c r="D460" s="14" t="s">
        <v>199</v>
      </c>
      <c r="E460" s="14"/>
      <c r="F460" s="14" t="s">
        <v>90</v>
      </c>
      <c r="G460" s="69">
        <v>46190</v>
      </c>
      <c r="H460" s="15" t="s">
        <v>251</v>
      </c>
      <c r="I460" s="49">
        <v>44743</v>
      </c>
      <c r="J460" s="49">
        <v>45230</v>
      </c>
      <c r="K460" s="49" t="s">
        <v>211</v>
      </c>
      <c r="L460" s="29" t="s">
        <v>91</v>
      </c>
      <c r="M460" s="29" t="s">
        <v>16</v>
      </c>
      <c r="N460" s="29" t="s">
        <v>212</v>
      </c>
      <c r="O460" s="28"/>
      <c r="P460" s="16"/>
      <c r="Q460" s="17">
        <v>0</v>
      </c>
      <c r="R460" s="7">
        <v>0</v>
      </c>
      <c r="S460" s="8">
        <v>0</v>
      </c>
      <c r="T460" s="7">
        <v>0</v>
      </c>
      <c r="U460" s="8">
        <v>0</v>
      </c>
      <c r="V460" s="7">
        <v>0</v>
      </c>
      <c r="W460" s="8" t="s">
        <v>207</v>
      </c>
      <c r="X460" s="7">
        <v>7698</v>
      </c>
      <c r="Y460" s="10"/>
      <c r="Z460" s="14"/>
      <c r="AA460" s="7">
        <f>X460+V460+T460+R460+Z460</f>
        <v>7698</v>
      </c>
      <c r="AB460" s="11"/>
      <c r="AC460" s="11"/>
      <c r="AD460" s="11"/>
      <c r="AE460" s="50">
        <f t="shared" ref="AE460" si="10">EDATE(B460,6)</f>
        <v>46070</v>
      </c>
      <c r="AF460" s="44"/>
      <c r="AG460" s="45"/>
      <c r="AH460" s="36"/>
      <c r="AI460" s="36"/>
    </row>
    <row r="461" spans="1:37" x14ac:dyDescent="0.3">
      <c r="A461" s="43"/>
      <c r="B461" s="13">
        <v>46127</v>
      </c>
      <c r="C461" s="60">
        <v>10018957</v>
      </c>
      <c r="D461" s="30" t="s">
        <v>1165</v>
      </c>
      <c r="E461" s="30" t="s">
        <v>1165</v>
      </c>
      <c r="F461" s="65" t="s">
        <v>722</v>
      </c>
      <c r="G461" s="69">
        <v>46191</v>
      </c>
      <c r="H461" s="15" t="s">
        <v>251</v>
      </c>
      <c r="I461" s="15"/>
      <c r="J461" s="15" t="e">
        <v>#N/A</v>
      </c>
      <c r="K461" s="29">
        <v>45087</v>
      </c>
      <c r="L461" s="29">
        <v>45505</v>
      </c>
      <c r="M461" s="29" t="s">
        <v>211</v>
      </c>
      <c r="N461" s="29" t="s">
        <v>172</v>
      </c>
      <c r="O461" s="29" t="s">
        <v>24</v>
      </c>
      <c r="P461" s="29" t="s">
        <v>212</v>
      </c>
      <c r="Q461" s="32"/>
      <c r="R461" s="14" t="s">
        <v>1222</v>
      </c>
      <c r="S461" s="37"/>
      <c r="T461" s="38"/>
      <c r="U461" s="30"/>
      <c r="V461" s="39"/>
      <c r="W461" s="40"/>
      <c r="X461" s="39"/>
      <c r="Y461" s="41"/>
      <c r="Z461" s="9"/>
      <c r="AA461" s="9"/>
      <c r="AB461" s="9"/>
      <c r="AC461" s="7">
        <v>31149</v>
      </c>
      <c r="AD461" s="33"/>
      <c r="AE461" s="33"/>
      <c r="AF461" s="33"/>
      <c r="AG461" s="66">
        <v>46310</v>
      </c>
      <c r="AH461" s="44"/>
      <c r="AI461" s="45"/>
      <c r="AJ461" s="36"/>
      <c r="AK461" s="36"/>
    </row>
    <row r="462" spans="1:37" x14ac:dyDescent="0.3">
      <c r="A462" s="31"/>
      <c r="B462" s="13"/>
      <c r="C462" s="60">
        <v>4326</v>
      </c>
      <c r="D462" s="30"/>
      <c r="E462" s="30"/>
      <c r="F462" s="65" t="s">
        <v>1318</v>
      </c>
      <c r="G462" s="69">
        <v>46191</v>
      </c>
      <c r="H462" s="15" t="s">
        <v>251</v>
      </c>
      <c r="I462" s="63"/>
      <c r="J462" s="15"/>
      <c r="K462" s="29"/>
      <c r="L462" s="29"/>
      <c r="M462" s="29"/>
      <c r="N462" s="29"/>
      <c r="O462" s="29"/>
      <c r="P462" s="29"/>
      <c r="Q462" s="32"/>
      <c r="R462" s="14"/>
      <c r="S462" s="37"/>
      <c r="T462" s="38"/>
      <c r="U462" s="30"/>
      <c r="V462" s="39"/>
      <c r="W462" s="40"/>
      <c r="X462" s="39"/>
      <c r="Y462" s="41"/>
      <c r="Z462" s="9"/>
      <c r="AA462" s="9"/>
      <c r="AB462" s="9"/>
      <c r="AC462" s="7"/>
      <c r="AD462" s="33"/>
      <c r="AE462" s="33"/>
      <c r="AF462" s="33"/>
      <c r="AG462" s="66"/>
      <c r="AH462" s="44"/>
      <c r="AI462" s="45"/>
      <c r="AJ462" s="36"/>
      <c r="AK462" s="36"/>
    </row>
    <row r="463" spans="1:37" x14ac:dyDescent="0.3">
      <c r="A463" s="31"/>
      <c r="B463" s="13"/>
      <c r="C463" s="60">
        <v>10024670</v>
      </c>
      <c r="D463" s="30"/>
      <c r="E463" s="30"/>
      <c r="F463" s="65" t="s">
        <v>1319</v>
      </c>
      <c r="G463" s="69">
        <v>46191</v>
      </c>
      <c r="H463" s="15" t="s">
        <v>251</v>
      </c>
      <c r="I463" s="63"/>
      <c r="J463" s="15"/>
      <c r="K463" s="29"/>
      <c r="L463" s="29"/>
      <c r="M463" s="29"/>
      <c r="N463" s="29"/>
      <c r="O463" s="29"/>
      <c r="P463" s="29"/>
      <c r="Q463" s="32"/>
      <c r="R463" s="14"/>
      <c r="S463" s="37"/>
      <c r="T463" s="38"/>
      <c r="U463" s="30"/>
      <c r="V463" s="39"/>
      <c r="W463" s="40"/>
      <c r="X463" s="39"/>
      <c r="Y463" s="41"/>
      <c r="Z463" s="9"/>
      <c r="AA463" s="9"/>
      <c r="AB463" s="9"/>
      <c r="AC463" s="7"/>
      <c r="AD463" s="33"/>
      <c r="AE463" s="33"/>
      <c r="AF463" s="33"/>
      <c r="AG463" s="66"/>
      <c r="AH463" s="44"/>
      <c r="AI463" s="45"/>
      <c r="AJ463" s="36"/>
      <c r="AK463" s="36"/>
    </row>
    <row r="464" spans="1:37" x14ac:dyDescent="0.3">
      <c r="A464" s="31"/>
      <c r="B464" s="13"/>
      <c r="C464" s="60">
        <v>1756</v>
      </c>
      <c r="D464" s="30"/>
      <c r="E464" s="30"/>
      <c r="F464" s="65"/>
      <c r="G464" s="69">
        <v>46162</v>
      </c>
      <c r="H464" s="15" t="s">
        <v>251</v>
      </c>
      <c r="I464" s="63"/>
      <c r="J464" s="15"/>
      <c r="K464" s="29"/>
      <c r="L464" s="29"/>
      <c r="M464" s="29"/>
      <c r="N464" s="29"/>
      <c r="O464" s="29"/>
      <c r="P464" s="29"/>
      <c r="Q464" s="32"/>
      <c r="R464" s="14"/>
      <c r="S464" s="37"/>
      <c r="T464" s="38"/>
      <c r="U464" s="30"/>
      <c r="V464" s="39"/>
      <c r="W464" s="40"/>
      <c r="X464" s="39"/>
      <c r="Y464" s="41"/>
      <c r="Z464" s="9"/>
      <c r="AA464" s="9"/>
      <c r="AB464" s="9"/>
      <c r="AC464" s="7"/>
      <c r="AD464" s="33"/>
      <c r="AE464" s="33"/>
      <c r="AF464" s="33"/>
      <c r="AG464" s="66"/>
      <c r="AH464" s="44"/>
      <c r="AI464" s="45"/>
      <c r="AJ464" s="36"/>
      <c r="AK464" s="36"/>
    </row>
    <row r="465" spans="1:37" x14ac:dyDescent="0.3">
      <c r="A465" s="31"/>
      <c r="B465" s="13"/>
      <c r="C465" s="60">
        <v>10020216</v>
      </c>
      <c r="D465" s="30"/>
      <c r="E465" s="30"/>
      <c r="F465" s="65"/>
      <c r="G465" s="69">
        <v>46162</v>
      </c>
      <c r="H465" s="15" t="s">
        <v>251</v>
      </c>
      <c r="I465" s="63"/>
      <c r="J465" s="15"/>
      <c r="K465" s="29"/>
      <c r="L465" s="29"/>
      <c r="M465" s="29"/>
      <c r="N465" s="29"/>
      <c r="O465" s="29"/>
      <c r="P465" s="29"/>
      <c r="Q465" s="32"/>
      <c r="R465" s="14"/>
      <c r="S465" s="37"/>
      <c r="T465" s="38"/>
      <c r="U465" s="30"/>
      <c r="V465" s="39"/>
      <c r="W465" s="40"/>
      <c r="X465" s="39"/>
      <c r="Y465" s="41"/>
      <c r="Z465" s="9"/>
      <c r="AA465" s="9"/>
      <c r="AB465" s="9"/>
      <c r="AC465" s="7"/>
      <c r="AD465" s="33"/>
      <c r="AE465" s="33"/>
      <c r="AF465" s="33"/>
      <c r="AG465" s="66"/>
      <c r="AH465" s="44"/>
      <c r="AI465" s="45"/>
      <c r="AJ465" s="36"/>
      <c r="AK465" s="36"/>
    </row>
    <row r="466" spans="1:37" x14ac:dyDescent="0.3">
      <c r="A466" s="31"/>
      <c r="B466" s="13"/>
      <c r="C466" s="60">
        <v>13744</v>
      </c>
      <c r="D466" s="30"/>
      <c r="E466" s="30"/>
      <c r="F466" s="65"/>
      <c r="G466" s="69">
        <v>46162</v>
      </c>
      <c r="H466" s="15" t="s">
        <v>251</v>
      </c>
      <c r="I466" s="63"/>
      <c r="J466" s="15"/>
      <c r="K466" s="29"/>
      <c r="L466" s="29"/>
      <c r="M466" s="29"/>
      <c r="N466" s="29"/>
      <c r="O466" s="29"/>
      <c r="P466" s="29"/>
      <c r="Q466" s="32"/>
      <c r="R466" s="14"/>
      <c r="S466" s="37"/>
      <c r="T466" s="38"/>
      <c r="U466" s="30"/>
      <c r="V466" s="39"/>
      <c r="W466" s="40"/>
      <c r="X466" s="39"/>
      <c r="Y466" s="41"/>
      <c r="Z466" s="9"/>
      <c r="AA466" s="9"/>
      <c r="AB466" s="9"/>
      <c r="AC466" s="7"/>
      <c r="AD466" s="33"/>
      <c r="AE466" s="33"/>
      <c r="AF466" s="33"/>
      <c r="AG466" s="66"/>
      <c r="AH466" s="44"/>
      <c r="AI466" s="45"/>
      <c r="AJ466" s="36"/>
      <c r="AK466" s="36"/>
    </row>
    <row r="467" spans="1:37" x14ac:dyDescent="0.3">
      <c r="A467" s="31"/>
      <c r="B467" s="13"/>
      <c r="C467" s="60">
        <v>6791</v>
      </c>
      <c r="D467" s="30"/>
      <c r="E467" s="30"/>
      <c r="F467" s="65" t="s">
        <v>1320</v>
      </c>
      <c r="G467" s="71">
        <v>46195</v>
      </c>
      <c r="H467" s="15" t="s">
        <v>251</v>
      </c>
      <c r="I467" s="63"/>
      <c r="J467" s="15"/>
      <c r="K467" s="29">
        <v>42021</v>
      </c>
      <c r="L467" s="29">
        <v>45992</v>
      </c>
      <c r="M467" s="29" t="s">
        <v>216</v>
      </c>
      <c r="N467" s="29"/>
      <c r="O467" s="29" t="s">
        <v>263</v>
      </c>
      <c r="P467" s="29"/>
      <c r="Q467" s="32"/>
      <c r="R467" s="14"/>
      <c r="S467" s="37"/>
      <c r="T467" s="38"/>
      <c r="U467" s="30"/>
      <c r="V467" s="39"/>
      <c r="W467" s="40"/>
      <c r="X467" s="39"/>
      <c r="Y467" s="41"/>
      <c r="Z467" s="9"/>
      <c r="AA467" s="9"/>
      <c r="AB467" s="9"/>
      <c r="AC467" s="7"/>
      <c r="AD467" s="33"/>
      <c r="AE467" s="33"/>
      <c r="AF467" s="33"/>
      <c r="AG467" s="66"/>
      <c r="AH467" s="44"/>
      <c r="AI467" s="45"/>
      <c r="AJ467" s="36"/>
      <c r="AK467" s="36"/>
    </row>
    <row r="468" spans="1:37" x14ac:dyDescent="0.3">
      <c r="A468" s="43"/>
      <c r="B468" s="13">
        <v>46127</v>
      </c>
      <c r="C468" s="60">
        <v>10020070</v>
      </c>
      <c r="D468" s="30" t="s">
        <v>1078</v>
      </c>
      <c r="E468" s="30" t="s">
        <v>1078</v>
      </c>
      <c r="F468" s="65" t="s">
        <v>938</v>
      </c>
      <c r="G468" s="71">
        <v>46196</v>
      </c>
      <c r="H468" s="15" t="s">
        <v>251</v>
      </c>
      <c r="I468" s="15"/>
      <c r="J468" s="15" t="e">
        <v>#N/A</v>
      </c>
      <c r="K468" s="29">
        <v>45292</v>
      </c>
      <c r="L468" s="29">
        <v>45483</v>
      </c>
      <c r="M468" s="29" t="s">
        <v>211</v>
      </c>
      <c r="N468" s="29" t="s">
        <v>179</v>
      </c>
      <c r="O468" s="29" t="s">
        <v>16</v>
      </c>
      <c r="P468" s="29" t="s">
        <v>212</v>
      </c>
      <c r="Q468" s="32"/>
      <c r="R468" s="14" t="s">
        <v>1222</v>
      </c>
      <c r="S468" s="37"/>
      <c r="T468" s="38"/>
      <c r="U468" s="30"/>
      <c r="V468" s="39"/>
      <c r="W468" s="40"/>
      <c r="X468" s="39"/>
      <c r="Y468" s="41"/>
      <c r="Z468" s="9"/>
      <c r="AA468" s="9"/>
      <c r="AB468" s="9"/>
      <c r="AC468" s="7">
        <v>25942</v>
      </c>
      <c r="AD468" s="33"/>
      <c r="AE468" s="33"/>
      <c r="AF468" s="33"/>
      <c r="AG468" s="66">
        <v>46310</v>
      </c>
      <c r="AH468" s="44"/>
      <c r="AI468" s="45"/>
      <c r="AJ468" s="36"/>
      <c r="AK468" s="36"/>
    </row>
    <row r="469" spans="1:37" ht="12.5" customHeight="1" x14ac:dyDescent="0.3">
      <c r="A469" s="31"/>
      <c r="B469" s="13">
        <v>46183</v>
      </c>
      <c r="C469" s="60">
        <v>6213</v>
      </c>
      <c r="D469" s="30" t="s">
        <v>1462</v>
      </c>
      <c r="E469" s="30"/>
      <c r="F469" s="65" t="s">
        <v>1338</v>
      </c>
      <c r="G469" s="71">
        <v>46197</v>
      </c>
      <c r="H469" s="15" t="s">
        <v>251</v>
      </c>
      <c r="I469" s="63"/>
      <c r="J469" s="15"/>
      <c r="K469" s="29">
        <v>41861</v>
      </c>
      <c r="L469" s="29">
        <v>45901</v>
      </c>
      <c r="M469" s="29" t="s">
        <v>219</v>
      </c>
      <c r="N469" s="29" t="s">
        <v>152</v>
      </c>
      <c r="O469" s="29" t="s">
        <v>23</v>
      </c>
      <c r="P469" s="29" t="s">
        <v>214</v>
      </c>
      <c r="Q469" s="32"/>
      <c r="R469" s="14" t="s">
        <v>1222</v>
      </c>
      <c r="S469" s="37"/>
      <c r="T469" s="38"/>
      <c r="U469" s="30"/>
      <c r="V469" s="39"/>
      <c r="W469" s="40"/>
      <c r="X469" s="39"/>
      <c r="Y469" s="41"/>
      <c r="Z469" s="9"/>
      <c r="AA469" s="9"/>
      <c r="AB469" s="9"/>
      <c r="AC469" s="7">
        <v>1041009</v>
      </c>
      <c r="AD469" s="33"/>
      <c r="AE469" s="33"/>
      <c r="AF469" s="33"/>
      <c r="AG469" s="66"/>
      <c r="AH469" s="44"/>
      <c r="AI469" s="45"/>
      <c r="AJ469" s="36"/>
      <c r="AK469" s="36"/>
    </row>
    <row r="470" spans="1:37" x14ac:dyDescent="0.3">
      <c r="A470" s="31"/>
      <c r="B470" s="13">
        <v>46183</v>
      </c>
      <c r="C470" s="60">
        <v>15276</v>
      </c>
      <c r="D470" s="30" t="s">
        <v>1465</v>
      </c>
      <c r="E470" s="30" t="s">
        <v>1465</v>
      </c>
      <c r="F470" s="65" t="s">
        <v>1340</v>
      </c>
      <c r="G470" s="71">
        <v>46197</v>
      </c>
      <c r="H470" s="15" t="s">
        <v>251</v>
      </c>
      <c r="I470" s="63"/>
      <c r="J470" s="15"/>
      <c r="K470" s="29">
        <v>44296</v>
      </c>
      <c r="L470" s="29">
        <v>45824</v>
      </c>
      <c r="M470" s="29" t="s">
        <v>219</v>
      </c>
      <c r="N470" s="29" t="s">
        <v>115</v>
      </c>
      <c r="O470" s="29" t="s">
        <v>23</v>
      </c>
      <c r="P470" s="29" t="s">
        <v>214</v>
      </c>
      <c r="Q470" s="32">
        <v>45292</v>
      </c>
      <c r="R470" s="14" t="s">
        <v>1222</v>
      </c>
      <c r="S470" s="37"/>
      <c r="T470" s="38"/>
      <c r="U470" s="30"/>
      <c r="V470" s="39"/>
      <c r="W470" s="40"/>
      <c r="X470" s="39"/>
      <c r="Y470" s="41"/>
      <c r="Z470" s="9"/>
      <c r="AA470" s="9"/>
      <c r="AB470" s="9"/>
      <c r="AC470" s="7">
        <v>173376</v>
      </c>
      <c r="AD470" s="33"/>
      <c r="AE470" s="33"/>
      <c r="AF470" s="33"/>
      <c r="AG470" s="66"/>
      <c r="AH470" s="44"/>
      <c r="AI470" s="45"/>
      <c r="AJ470" s="36"/>
      <c r="AK470" s="36"/>
    </row>
    <row r="471" spans="1:37" x14ac:dyDescent="0.3">
      <c r="A471" s="31"/>
      <c r="B471" s="13">
        <v>46183</v>
      </c>
      <c r="C471" s="60">
        <v>4561</v>
      </c>
      <c r="D471" s="30" t="s">
        <v>1552</v>
      </c>
      <c r="E471" s="30" t="s">
        <v>1460</v>
      </c>
      <c r="F471" s="65" t="s">
        <v>303</v>
      </c>
      <c r="G471" s="71">
        <v>46197</v>
      </c>
      <c r="H471" s="15" t="s">
        <v>251</v>
      </c>
      <c r="I471" s="63"/>
      <c r="J471" s="15"/>
      <c r="K471" s="29">
        <v>40909</v>
      </c>
      <c r="L471" s="29">
        <v>46022</v>
      </c>
      <c r="M471" s="29" t="s">
        <v>275</v>
      </c>
      <c r="N471" s="29" t="s">
        <v>279</v>
      </c>
      <c r="O471" s="29" t="s">
        <v>26</v>
      </c>
      <c r="P471" s="29" t="s">
        <v>233</v>
      </c>
      <c r="Q471" s="32">
        <v>44927</v>
      </c>
      <c r="R471" s="14" t="s">
        <v>1222</v>
      </c>
      <c r="S471" s="37"/>
      <c r="T471" s="38"/>
      <c r="U471" s="30"/>
      <c r="V471" s="39"/>
      <c r="W471" s="40"/>
      <c r="X471" s="39"/>
      <c r="Y471" s="41"/>
      <c r="Z471" s="9"/>
      <c r="AA471" s="9"/>
      <c r="AB471" s="9"/>
      <c r="AC471" s="7">
        <v>730149</v>
      </c>
      <c r="AD471" s="33"/>
      <c r="AE471" s="33"/>
      <c r="AF471" s="33"/>
      <c r="AG471" s="66"/>
      <c r="AH471" s="44"/>
      <c r="AI471" s="45"/>
      <c r="AJ471" s="36"/>
      <c r="AK471" s="36"/>
    </row>
    <row r="472" spans="1:37" x14ac:dyDescent="0.3">
      <c r="A472" s="31"/>
      <c r="B472" s="13">
        <v>46183</v>
      </c>
      <c r="C472" s="60">
        <v>9488</v>
      </c>
      <c r="D472" s="30" t="s">
        <v>1555</v>
      </c>
      <c r="E472" s="30" t="s">
        <v>1482</v>
      </c>
      <c r="F472" s="65" t="s">
        <v>1353</v>
      </c>
      <c r="G472" s="71">
        <v>46197</v>
      </c>
      <c r="H472" s="15" t="s">
        <v>251</v>
      </c>
      <c r="I472" s="63"/>
      <c r="J472" s="15"/>
      <c r="K472" s="29">
        <v>42809</v>
      </c>
      <c r="L472" s="29">
        <v>46007</v>
      </c>
      <c r="M472" s="29" t="s">
        <v>239</v>
      </c>
      <c r="N472" s="29" t="s">
        <v>94</v>
      </c>
      <c r="O472" s="29" t="s">
        <v>17</v>
      </c>
      <c r="P472" s="29" t="s">
        <v>229</v>
      </c>
      <c r="Q472" s="32">
        <v>45292</v>
      </c>
      <c r="R472" s="14" t="s">
        <v>1222</v>
      </c>
      <c r="S472" s="37"/>
      <c r="T472" s="38"/>
      <c r="U472" s="30"/>
      <c r="V472" s="39"/>
      <c r="W472" s="40"/>
      <c r="X472" s="39"/>
      <c r="Y472" s="41"/>
      <c r="Z472" s="9"/>
      <c r="AA472" s="9"/>
      <c r="AB472" s="9"/>
      <c r="AC472" s="7">
        <v>269931</v>
      </c>
      <c r="AD472" s="33"/>
      <c r="AE472" s="33"/>
      <c r="AF472" s="33"/>
      <c r="AG472" s="66"/>
      <c r="AH472" s="44"/>
      <c r="AI472" s="45"/>
      <c r="AJ472" s="36"/>
      <c r="AK472" s="36"/>
    </row>
    <row r="473" spans="1:37" x14ac:dyDescent="0.3">
      <c r="A473" s="31"/>
      <c r="B473" s="13">
        <v>46183</v>
      </c>
      <c r="C473" s="60">
        <v>10019121</v>
      </c>
      <c r="D473" s="30" t="s">
        <v>1439</v>
      </c>
      <c r="E473" s="30" t="s">
        <v>1439</v>
      </c>
      <c r="F473" s="65" t="s">
        <v>1369</v>
      </c>
      <c r="G473" s="71">
        <v>46197</v>
      </c>
      <c r="H473" s="15" t="s">
        <v>251</v>
      </c>
      <c r="I473" s="63"/>
      <c r="J473" s="15"/>
      <c r="K473" s="29">
        <v>45110</v>
      </c>
      <c r="L473" s="29">
        <v>45992</v>
      </c>
      <c r="M473" s="29" t="s">
        <v>219</v>
      </c>
      <c r="N473" s="29" t="s">
        <v>118</v>
      </c>
      <c r="O473" s="29" t="s">
        <v>23</v>
      </c>
      <c r="P473" s="29" t="s">
        <v>214</v>
      </c>
      <c r="Q473" s="32"/>
      <c r="R473" s="14" t="s">
        <v>1222</v>
      </c>
      <c r="S473" s="37"/>
      <c r="T473" s="38"/>
      <c r="U473" s="30"/>
      <c r="V473" s="39"/>
      <c r="W473" s="40"/>
      <c r="X473" s="39"/>
      <c r="Y473" s="41"/>
      <c r="Z473" s="9"/>
      <c r="AA473" s="9"/>
      <c r="AB473" s="9"/>
      <c r="AC473" s="7">
        <v>48623</v>
      </c>
      <c r="AD473" s="33"/>
      <c r="AE473" s="33"/>
      <c r="AF473" s="33"/>
      <c r="AG473" s="66"/>
      <c r="AH473" s="44"/>
      <c r="AI473" s="45"/>
      <c r="AJ473" s="36"/>
      <c r="AK473" s="36"/>
    </row>
    <row r="474" spans="1:37" x14ac:dyDescent="0.3">
      <c r="A474" s="31"/>
      <c r="B474" s="13">
        <v>46183</v>
      </c>
      <c r="C474" s="60">
        <v>3764</v>
      </c>
      <c r="D474" s="30">
        <v>8801847213241</v>
      </c>
      <c r="E474" s="30">
        <v>1719644749</v>
      </c>
      <c r="F474" s="65" t="s">
        <v>1410</v>
      </c>
      <c r="G474" s="71">
        <v>46197</v>
      </c>
      <c r="H474" s="15" t="s">
        <v>251</v>
      </c>
      <c r="I474" s="63"/>
      <c r="J474" s="15"/>
      <c r="K474" s="29">
        <v>40639</v>
      </c>
      <c r="L474" s="29">
        <v>45936</v>
      </c>
      <c r="M474" s="29" t="s">
        <v>215</v>
      </c>
      <c r="N474" s="29" t="s">
        <v>95</v>
      </c>
      <c r="O474" s="29" t="s">
        <v>23</v>
      </c>
      <c r="P474" s="29" t="s">
        <v>223</v>
      </c>
      <c r="Q474" s="32">
        <v>44562</v>
      </c>
      <c r="R474" s="14" t="s">
        <v>1222</v>
      </c>
      <c r="S474" s="37"/>
      <c r="T474" s="38"/>
      <c r="U474" s="30"/>
      <c r="V474" s="39"/>
      <c r="W474" s="40"/>
      <c r="X474" s="39"/>
      <c r="Y474" s="41"/>
      <c r="Z474" s="9"/>
      <c r="AA474" s="9"/>
      <c r="AB474" s="9"/>
      <c r="AC474" s="7">
        <v>1682963</v>
      </c>
      <c r="AD474" s="33"/>
      <c r="AE474" s="33"/>
      <c r="AF474" s="33"/>
      <c r="AG474" s="66"/>
      <c r="AH474" s="44"/>
      <c r="AI474" s="45"/>
      <c r="AJ474" s="36"/>
      <c r="AK474" s="36"/>
    </row>
    <row r="475" spans="1:37" x14ac:dyDescent="0.3">
      <c r="A475" s="31"/>
      <c r="B475" s="13">
        <v>46183</v>
      </c>
      <c r="C475" s="60">
        <v>10023266</v>
      </c>
      <c r="D475" s="30" t="s">
        <v>1541</v>
      </c>
      <c r="E475" s="30" t="s">
        <v>1541</v>
      </c>
      <c r="F475" s="65" t="s">
        <v>1413</v>
      </c>
      <c r="G475" s="71">
        <v>46197</v>
      </c>
      <c r="H475" s="15" t="s">
        <v>251</v>
      </c>
      <c r="I475" s="63"/>
      <c r="J475" s="15"/>
      <c r="K475" s="29">
        <v>45689</v>
      </c>
      <c r="L475" s="29">
        <v>45962</v>
      </c>
      <c r="M475" s="29" t="s">
        <v>220</v>
      </c>
      <c r="N475" s="29" t="s">
        <v>150</v>
      </c>
      <c r="O475" s="29" t="s">
        <v>17</v>
      </c>
      <c r="P475" s="29" t="s">
        <v>221</v>
      </c>
      <c r="Q475" s="32"/>
      <c r="R475" s="14" t="s">
        <v>1222</v>
      </c>
      <c r="S475" s="37"/>
      <c r="T475" s="38"/>
      <c r="U475" s="30"/>
      <c r="V475" s="39"/>
      <c r="W475" s="40"/>
      <c r="X475" s="39"/>
      <c r="Y475" s="41"/>
      <c r="Z475" s="9"/>
      <c r="AA475" s="9"/>
      <c r="AB475" s="9"/>
      <c r="AC475" s="7">
        <v>3233</v>
      </c>
      <c r="AD475" s="33"/>
      <c r="AE475" s="33"/>
      <c r="AF475" s="33"/>
      <c r="AG475" s="66"/>
      <c r="AH475" s="44"/>
      <c r="AI475" s="45"/>
      <c r="AJ475" s="36"/>
      <c r="AK475" s="36"/>
    </row>
    <row r="476" spans="1:37" x14ac:dyDescent="0.3">
      <c r="A476" s="31"/>
      <c r="B476" s="13">
        <v>46127</v>
      </c>
      <c r="C476" s="60">
        <v>14399</v>
      </c>
      <c r="D476" s="30" t="s">
        <v>1192</v>
      </c>
      <c r="E476" s="30" t="s">
        <v>1301</v>
      </c>
      <c r="F476" s="65" t="s">
        <v>997</v>
      </c>
      <c r="G476" s="69">
        <v>46198</v>
      </c>
      <c r="H476" s="15" t="s">
        <v>251</v>
      </c>
      <c r="I476" s="63" t="s">
        <v>916</v>
      </c>
      <c r="J476" s="15" t="s">
        <v>1313</v>
      </c>
      <c r="K476" s="29">
        <v>44075</v>
      </c>
      <c r="L476" s="29">
        <v>45292</v>
      </c>
      <c r="M476" s="29" t="s">
        <v>220</v>
      </c>
      <c r="N476" s="29" t="s">
        <v>99</v>
      </c>
      <c r="O476" s="29" t="s">
        <v>17</v>
      </c>
      <c r="P476" s="29" t="s">
        <v>221</v>
      </c>
      <c r="Q476" s="32"/>
      <c r="R476" s="14" t="s">
        <v>1222</v>
      </c>
      <c r="S476" s="37"/>
      <c r="T476" s="38"/>
      <c r="U476" s="30"/>
      <c r="V476" s="39"/>
      <c r="W476" s="40"/>
      <c r="X476" s="39"/>
      <c r="Y476" s="41"/>
      <c r="Z476" s="9"/>
      <c r="AA476" s="9"/>
      <c r="AB476" s="9"/>
      <c r="AC476" s="7">
        <v>12030</v>
      </c>
      <c r="AD476" s="33"/>
      <c r="AE476" s="33"/>
      <c r="AF476" s="33"/>
      <c r="AG476" s="66">
        <v>46310</v>
      </c>
      <c r="AH476" s="44"/>
      <c r="AI476" s="45"/>
      <c r="AJ476" s="36"/>
      <c r="AK476" s="36"/>
    </row>
    <row r="477" spans="1:37" x14ac:dyDescent="0.3">
      <c r="A477" s="31"/>
      <c r="B477" s="13">
        <v>46166</v>
      </c>
      <c r="C477" s="60">
        <v>10023642</v>
      </c>
      <c r="D477" s="30" t="s">
        <v>1422</v>
      </c>
      <c r="E477" s="30" t="s">
        <v>1422</v>
      </c>
      <c r="F477" s="65" t="s">
        <v>52</v>
      </c>
      <c r="G477" s="69">
        <v>46198</v>
      </c>
      <c r="H477" s="15" t="s">
        <v>251</v>
      </c>
      <c r="I477" s="63"/>
      <c r="J477" s="15"/>
      <c r="K477" s="29">
        <v>45784</v>
      </c>
      <c r="L477" s="29">
        <v>46001</v>
      </c>
      <c r="M477" s="29" t="s">
        <v>224</v>
      </c>
      <c r="N477" s="29" t="s">
        <v>1452</v>
      </c>
      <c r="O477" s="29" t="s">
        <v>26</v>
      </c>
      <c r="P477" s="29" t="s">
        <v>217</v>
      </c>
      <c r="Q477" s="32"/>
      <c r="R477" s="14" t="s">
        <v>1222</v>
      </c>
      <c r="S477" s="37"/>
      <c r="T477" s="38"/>
      <c r="U477" s="30"/>
      <c r="V477" s="39"/>
      <c r="W477" s="40"/>
      <c r="X477" s="39"/>
      <c r="Y477" s="41"/>
      <c r="Z477" s="9"/>
      <c r="AA477" s="9"/>
      <c r="AB477" s="9"/>
      <c r="AC477" s="7">
        <v>9945</v>
      </c>
      <c r="AD477" s="33"/>
      <c r="AE477" s="33"/>
      <c r="AF477" s="33"/>
      <c r="AG477" s="66"/>
      <c r="AH477" s="44"/>
      <c r="AI477" s="45"/>
      <c r="AJ477" s="36"/>
      <c r="AK477" s="36"/>
    </row>
    <row r="478" spans="1:37" x14ac:dyDescent="0.3">
      <c r="A478" s="31"/>
      <c r="B478" s="13">
        <v>46183</v>
      </c>
      <c r="C478" s="60">
        <v>15330</v>
      </c>
      <c r="D478" s="30" t="s">
        <v>1461</v>
      </c>
      <c r="E478" s="30"/>
      <c r="F478" s="65" t="s">
        <v>1337</v>
      </c>
      <c r="G478" s="69">
        <v>46198</v>
      </c>
      <c r="H478" s="15" t="s">
        <v>251</v>
      </c>
      <c r="I478" s="63"/>
      <c r="J478" s="15"/>
      <c r="K478" s="29">
        <v>44317</v>
      </c>
      <c r="L478" s="29">
        <v>46023</v>
      </c>
      <c r="M478" s="29" t="s">
        <v>219</v>
      </c>
      <c r="N478" s="29" t="s">
        <v>129</v>
      </c>
      <c r="O478" s="29" t="s">
        <v>23</v>
      </c>
      <c r="P478" s="29" t="s">
        <v>214</v>
      </c>
      <c r="Q478" s="32">
        <v>44927</v>
      </c>
      <c r="R478" s="14" t="s">
        <v>1222</v>
      </c>
      <c r="S478" s="37"/>
      <c r="T478" s="38"/>
      <c r="U478" s="30"/>
      <c r="V478" s="39"/>
      <c r="W478" s="40"/>
      <c r="X478" s="39"/>
      <c r="Y478" s="41"/>
      <c r="Z478" s="9"/>
      <c r="AA478" s="9"/>
      <c r="AB478" s="9"/>
      <c r="AC478" s="7">
        <v>207484</v>
      </c>
      <c r="AD478" s="33"/>
      <c r="AE478" s="33"/>
      <c r="AF478" s="33"/>
      <c r="AG478" s="66"/>
      <c r="AH478" s="44"/>
      <c r="AI478" s="45"/>
      <c r="AJ478" s="36"/>
      <c r="AK478" s="36"/>
    </row>
    <row r="479" spans="1:37" x14ac:dyDescent="0.3">
      <c r="A479" s="31"/>
      <c r="B479" s="13">
        <v>46183</v>
      </c>
      <c r="C479" s="60">
        <v>10020321</v>
      </c>
      <c r="D479" s="30" t="s">
        <v>1473</v>
      </c>
      <c r="E479" s="30" t="s">
        <v>1473</v>
      </c>
      <c r="F479" s="65" t="s">
        <v>1344</v>
      </c>
      <c r="G479" s="69">
        <v>46198</v>
      </c>
      <c r="H479" s="15" t="s">
        <v>251</v>
      </c>
      <c r="I479" s="63"/>
      <c r="J479" s="15"/>
      <c r="K479" s="29">
        <v>45327</v>
      </c>
      <c r="L479" s="29">
        <v>46107</v>
      </c>
      <c r="M479" s="29" t="s">
        <v>1267</v>
      </c>
      <c r="N479" s="29" t="s">
        <v>147</v>
      </c>
      <c r="O479" s="29" t="s">
        <v>29</v>
      </c>
      <c r="P479" s="29" t="s">
        <v>223</v>
      </c>
      <c r="Q479" s="32">
        <v>46023</v>
      </c>
      <c r="R479" s="14" t="s">
        <v>1222</v>
      </c>
      <c r="S479" s="37"/>
      <c r="T479" s="38"/>
      <c r="U479" s="30"/>
      <c r="V479" s="39"/>
      <c r="W479" s="40"/>
      <c r="X479" s="39"/>
      <c r="Y479" s="41"/>
      <c r="Z479" s="9"/>
      <c r="AA479" s="9"/>
      <c r="AB479" s="9"/>
      <c r="AC479" s="7">
        <v>83551</v>
      </c>
      <c r="AD479" s="33"/>
      <c r="AE479" s="33"/>
      <c r="AF479" s="33"/>
      <c r="AG479" s="66"/>
      <c r="AH479" s="44"/>
      <c r="AI479" s="45"/>
      <c r="AJ479" s="36"/>
      <c r="AK479" s="36"/>
    </row>
    <row r="480" spans="1:37" x14ac:dyDescent="0.3">
      <c r="A480" s="31"/>
      <c r="B480" s="13">
        <v>46183</v>
      </c>
      <c r="C480" s="60">
        <v>12441</v>
      </c>
      <c r="D480" s="30" t="s">
        <v>1474</v>
      </c>
      <c r="E480" s="30"/>
      <c r="F480" s="65" t="s">
        <v>1345</v>
      </c>
      <c r="G480" s="69">
        <v>46198</v>
      </c>
      <c r="H480" s="15" t="s">
        <v>251</v>
      </c>
      <c r="I480" s="63"/>
      <c r="J480" s="15"/>
      <c r="K480" s="29">
        <v>43525</v>
      </c>
      <c r="L480" s="29">
        <v>46035</v>
      </c>
      <c r="M480" s="29" t="s">
        <v>1455</v>
      </c>
      <c r="N480" s="29" t="s">
        <v>279</v>
      </c>
      <c r="O480" s="29" t="s">
        <v>26</v>
      </c>
      <c r="P480" s="29" t="s">
        <v>229</v>
      </c>
      <c r="Q480" s="32">
        <v>44562</v>
      </c>
      <c r="R480" s="14" t="s">
        <v>1223</v>
      </c>
      <c r="S480" s="37"/>
      <c r="T480" s="38"/>
      <c r="U480" s="30"/>
      <c r="V480" s="39"/>
      <c r="W480" s="40"/>
      <c r="X480" s="39"/>
      <c r="Y480" s="41"/>
      <c r="Z480" s="9"/>
      <c r="AA480" s="9"/>
      <c r="AB480" s="9"/>
      <c r="AC480" s="7">
        <v>296569</v>
      </c>
      <c r="AD480" s="33"/>
      <c r="AE480" s="33"/>
      <c r="AF480" s="33"/>
      <c r="AG480" s="66"/>
      <c r="AH480" s="44"/>
      <c r="AI480" s="45"/>
      <c r="AJ480" s="36"/>
      <c r="AK480" s="36"/>
    </row>
    <row r="481" spans="1:37" x14ac:dyDescent="0.3">
      <c r="A481" s="31"/>
      <c r="B481" s="13">
        <v>46183</v>
      </c>
      <c r="C481" s="60">
        <v>13341</v>
      </c>
      <c r="D481" s="30" t="s">
        <v>1553</v>
      </c>
      <c r="E481" s="30" t="s">
        <v>1476</v>
      </c>
      <c r="F481" s="65" t="s">
        <v>61</v>
      </c>
      <c r="G481" s="69">
        <v>46198</v>
      </c>
      <c r="H481" s="15" t="s">
        <v>251</v>
      </c>
      <c r="I481" s="63"/>
      <c r="J481" s="15"/>
      <c r="K481" s="29">
        <v>43796</v>
      </c>
      <c r="L481" s="29">
        <v>45914</v>
      </c>
      <c r="M481" s="29" t="s">
        <v>219</v>
      </c>
      <c r="N481" s="29" t="s">
        <v>189</v>
      </c>
      <c r="O481" s="29" t="s">
        <v>23</v>
      </c>
      <c r="P481" s="29" t="s">
        <v>214</v>
      </c>
      <c r="Q481" s="32">
        <v>45909</v>
      </c>
      <c r="R481" s="14" t="s">
        <v>1222</v>
      </c>
      <c r="S481" s="37"/>
      <c r="T481" s="38"/>
      <c r="U481" s="30"/>
      <c r="V481" s="39"/>
      <c r="W481" s="40"/>
      <c r="X481" s="39"/>
      <c r="Y481" s="41"/>
      <c r="Z481" s="9"/>
      <c r="AA481" s="9"/>
      <c r="AB481" s="9"/>
      <c r="AC481" s="7">
        <v>341608</v>
      </c>
      <c r="AD481" s="33"/>
      <c r="AE481" s="33"/>
      <c r="AF481" s="33"/>
      <c r="AG481" s="66"/>
      <c r="AH481" s="44"/>
      <c r="AI481" s="45"/>
      <c r="AJ481" s="36"/>
      <c r="AK481" s="36"/>
    </row>
    <row r="482" spans="1:37" x14ac:dyDescent="0.3">
      <c r="A482" s="31"/>
      <c r="B482" s="13">
        <v>46183</v>
      </c>
      <c r="C482" s="60">
        <v>12991</v>
      </c>
      <c r="D482" s="30">
        <v>8801894930231</v>
      </c>
      <c r="E482" s="30">
        <v>1780772500</v>
      </c>
      <c r="F482" s="65" t="s">
        <v>1350</v>
      </c>
      <c r="G482" s="69">
        <v>46198</v>
      </c>
      <c r="H482" s="15" t="s">
        <v>251</v>
      </c>
      <c r="I482" s="63"/>
      <c r="J482" s="15"/>
      <c r="K482" s="29">
        <v>43678</v>
      </c>
      <c r="L482" s="29">
        <v>45931</v>
      </c>
      <c r="M482" s="29" t="s">
        <v>219</v>
      </c>
      <c r="N482" s="29" t="s">
        <v>189</v>
      </c>
      <c r="O482" s="29" t="s">
        <v>23</v>
      </c>
      <c r="P482" s="29" t="s">
        <v>214</v>
      </c>
      <c r="Q482" s="32">
        <v>44562</v>
      </c>
      <c r="R482" s="14" t="s">
        <v>1222</v>
      </c>
      <c r="S482" s="37"/>
      <c r="T482" s="38"/>
      <c r="U482" s="30"/>
      <c r="V482" s="39"/>
      <c r="W482" s="40"/>
      <c r="X482" s="39"/>
      <c r="Y482" s="41"/>
      <c r="Z482" s="9"/>
      <c r="AA482" s="9"/>
      <c r="AB482" s="9"/>
      <c r="AC482" s="7">
        <v>357456</v>
      </c>
      <c r="AD482" s="33"/>
      <c r="AE482" s="33"/>
      <c r="AF482" s="33"/>
      <c r="AG482" s="66"/>
      <c r="AH482" s="44"/>
      <c r="AI482" s="45"/>
      <c r="AJ482" s="36"/>
      <c r="AK482" s="36"/>
    </row>
    <row r="483" spans="1:37" x14ac:dyDescent="0.3">
      <c r="A483" s="31"/>
      <c r="B483" s="13">
        <v>46183</v>
      </c>
      <c r="C483" s="60">
        <v>10020669</v>
      </c>
      <c r="D483" s="30" t="s">
        <v>1483</v>
      </c>
      <c r="E483" s="30" t="s">
        <v>1484</v>
      </c>
      <c r="F483" s="65" t="s">
        <v>81</v>
      </c>
      <c r="G483" s="69">
        <v>46198</v>
      </c>
      <c r="H483" s="15" t="s">
        <v>251</v>
      </c>
      <c r="I483" s="63"/>
      <c r="J483" s="15"/>
      <c r="K483" s="29">
        <v>45344</v>
      </c>
      <c r="L483" s="29">
        <v>46025</v>
      </c>
      <c r="M483" s="29" t="s">
        <v>211</v>
      </c>
      <c r="N483" s="29" t="s">
        <v>108</v>
      </c>
      <c r="O483" s="29" t="s">
        <v>23</v>
      </c>
      <c r="P483" s="29" t="s">
        <v>212</v>
      </c>
      <c r="Q483" s="32"/>
      <c r="R483" s="14" t="s">
        <v>1222</v>
      </c>
      <c r="S483" s="37"/>
      <c r="T483" s="38"/>
      <c r="U483" s="30"/>
      <c r="V483" s="39"/>
      <c r="W483" s="40"/>
      <c r="X483" s="39"/>
      <c r="Y483" s="41"/>
      <c r="Z483" s="9"/>
      <c r="AA483" s="9"/>
      <c r="AB483" s="9"/>
      <c r="AC483" s="7">
        <v>41504</v>
      </c>
      <c r="AD483" s="33"/>
      <c r="AE483" s="33"/>
      <c r="AF483" s="33"/>
      <c r="AG483" s="66"/>
      <c r="AH483" s="44"/>
      <c r="AI483" s="45"/>
      <c r="AJ483" s="36"/>
      <c r="AK483" s="36"/>
    </row>
    <row r="484" spans="1:37" x14ac:dyDescent="0.3">
      <c r="A484" s="31"/>
      <c r="B484" s="13">
        <v>46183</v>
      </c>
      <c r="C484" s="60">
        <v>10019442</v>
      </c>
      <c r="D484" s="30" t="s">
        <v>1487</v>
      </c>
      <c r="E484" s="30" t="s">
        <v>1487</v>
      </c>
      <c r="F484" s="65" t="s">
        <v>1356</v>
      </c>
      <c r="G484" s="69">
        <v>46198</v>
      </c>
      <c r="H484" s="15" t="s">
        <v>251</v>
      </c>
      <c r="I484" s="63"/>
      <c r="J484" s="15"/>
      <c r="K484" s="29">
        <v>45157</v>
      </c>
      <c r="L484" s="29">
        <v>45931</v>
      </c>
      <c r="M484" s="29" t="s">
        <v>211</v>
      </c>
      <c r="N484" s="29" t="s">
        <v>168</v>
      </c>
      <c r="O484" s="29" t="s">
        <v>23</v>
      </c>
      <c r="P484" s="29" t="s">
        <v>212</v>
      </c>
      <c r="Q484" s="32"/>
      <c r="R484" s="14" t="s">
        <v>1222</v>
      </c>
      <c r="S484" s="37"/>
      <c r="T484" s="38"/>
      <c r="U484" s="30"/>
      <c r="V484" s="39"/>
      <c r="W484" s="40"/>
      <c r="X484" s="39"/>
      <c r="Y484" s="41"/>
      <c r="Z484" s="9"/>
      <c r="AA484" s="9"/>
      <c r="AB484" s="9"/>
      <c r="AC484" s="7">
        <v>50347</v>
      </c>
      <c r="AD484" s="33"/>
      <c r="AE484" s="33"/>
      <c r="AF484" s="33"/>
      <c r="AG484" s="66"/>
      <c r="AH484" s="44"/>
      <c r="AI484" s="45"/>
      <c r="AJ484" s="36"/>
      <c r="AK484" s="36"/>
    </row>
    <row r="485" spans="1:37" x14ac:dyDescent="0.3">
      <c r="A485" s="31"/>
      <c r="B485" s="13">
        <v>46183</v>
      </c>
      <c r="C485" s="60">
        <v>10017522</v>
      </c>
      <c r="D485" s="30" t="s">
        <v>1490</v>
      </c>
      <c r="E485" s="30" t="s">
        <v>1490</v>
      </c>
      <c r="F485" s="65" t="s">
        <v>1359</v>
      </c>
      <c r="G485" s="69">
        <v>46198</v>
      </c>
      <c r="H485" s="15" t="s">
        <v>251</v>
      </c>
      <c r="I485" s="63"/>
      <c r="J485" s="15"/>
      <c r="K485" s="29">
        <v>44805</v>
      </c>
      <c r="L485" s="29">
        <v>46023</v>
      </c>
      <c r="M485" s="29" t="s">
        <v>211</v>
      </c>
      <c r="N485" s="29" t="s">
        <v>119</v>
      </c>
      <c r="O485" s="29" t="s">
        <v>23</v>
      </c>
      <c r="P485" s="29" t="s">
        <v>212</v>
      </c>
      <c r="Q485" s="32"/>
      <c r="R485" s="14" t="s">
        <v>1222</v>
      </c>
      <c r="S485" s="37"/>
      <c r="T485" s="38"/>
      <c r="U485" s="30"/>
      <c r="V485" s="39"/>
      <c r="W485" s="40"/>
      <c r="X485" s="39"/>
      <c r="Y485" s="41"/>
      <c r="Z485" s="9"/>
      <c r="AA485" s="9"/>
      <c r="AB485" s="9"/>
      <c r="AC485" s="7">
        <v>75958</v>
      </c>
      <c r="AD485" s="33"/>
      <c r="AE485" s="33"/>
      <c r="AF485" s="33"/>
      <c r="AG485" s="66"/>
      <c r="AH485" s="44"/>
      <c r="AI485" s="45"/>
      <c r="AJ485" s="36"/>
      <c r="AK485" s="36"/>
    </row>
    <row r="486" spans="1:37" x14ac:dyDescent="0.3">
      <c r="A486" s="31"/>
      <c r="B486" s="13">
        <v>46183</v>
      </c>
      <c r="C486" s="60">
        <v>10024163</v>
      </c>
      <c r="D486" s="30" t="s">
        <v>1492</v>
      </c>
      <c r="E486" s="30" t="s">
        <v>1493</v>
      </c>
      <c r="F486" s="65" t="s">
        <v>1361</v>
      </c>
      <c r="G486" s="69">
        <v>46198</v>
      </c>
      <c r="H486" s="15" t="s">
        <v>251</v>
      </c>
      <c r="I486" s="63"/>
      <c r="J486" s="15"/>
      <c r="K486" s="29">
        <v>45868</v>
      </c>
      <c r="L486" s="29">
        <v>45954</v>
      </c>
      <c r="M486" s="29" t="s">
        <v>219</v>
      </c>
      <c r="N486" s="29" t="s">
        <v>187</v>
      </c>
      <c r="O486" s="29" t="s">
        <v>23</v>
      </c>
      <c r="P486" s="29" t="s">
        <v>214</v>
      </c>
      <c r="Q486" s="32"/>
      <c r="R486" s="14" t="s">
        <v>1222</v>
      </c>
      <c r="S486" s="37"/>
      <c r="T486" s="38"/>
      <c r="U486" s="30"/>
      <c r="V486" s="39"/>
      <c r="W486" s="40"/>
      <c r="X486" s="39"/>
      <c r="Y486" s="41"/>
      <c r="Z486" s="9"/>
      <c r="AA486" s="9"/>
      <c r="AB486" s="9"/>
      <c r="AC486" s="7">
        <v>25631</v>
      </c>
      <c r="AD486" s="33"/>
      <c r="AE486" s="33"/>
      <c r="AF486" s="33"/>
      <c r="AG486" s="66"/>
      <c r="AH486" s="44"/>
      <c r="AI486" s="45"/>
      <c r="AJ486" s="36"/>
      <c r="AK486" s="36"/>
    </row>
    <row r="487" spans="1:37" x14ac:dyDescent="0.3">
      <c r="A487" s="31"/>
      <c r="B487" s="13">
        <v>46183</v>
      </c>
      <c r="C487" s="60">
        <v>10019322</v>
      </c>
      <c r="D487" s="30" t="s">
        <v>1436</v>
      </c>
      <c r="E487" s="30" t="s">
        <v>1436</v>
      </c>
      <c r="F487" s="65" t="s">
        <v>1366</v>
      </c>
      <c r="G487" s="69">
        <v>46198</v>
      </c>
      <c r="H487" s="15" t="s">
        <v>251</v>
      </c>
      <c r="I487" s="63"/>
      <c r="J487" s="15"/>
      <c r="K487" s="29">
        <v>45136</v>
      </c>
      <c r="L487" s="29">
        <v>45994</v>
      </c>
      <c r="M487" s="29" t="s">
        <v>219</v>
      </c>
      <c r="N487" s="29" t="s">
        <v>122</v>
      </c>
      <c r="O487" s="29" t="s">
        <v>23</v>
      </c>
      <c r="P487" s="29" t="s">
        <v>214</v>
      </c>
      <c r="Q487" s="32">
        <v>45658</v>
      </c>
      <c r="R487" s="14" t="s">
        <v>1222</v>
      </c>
      <c r="S487" s="37"/>
      <c r="T487" s="38"/>
      <c r="U487" s="30"/>
      <c r="V487" s="39"/>
      <c r="W487" s="40"/>
      <c r="X487" s="39"/>
      <c r="Y487" s="41"/>
      <c r="Z487" s="9"/>
      <c r="AA487" s="9"/>
      <c r="AB487" s="9"/>
      <c r="AC487" s="7">
        <v>56178</v>
      </c>
      <c r="AD487" s="33"/>
      <c r="AE487" s="33"/>
      <c r="AF487" s="33"/>
      <c r="AG487" s="66"/>
      <c r="AH487" s="44"/>
      <c r="AI487" s="45"/>
      <c r="AJ487" s="36"/>
      <c r="AK487" s="36"/>
    </row>
    <row r="488" spans="1:37" x14ac:dyDescent="0.3">
      <c r="A488" s="31"/>
      <c r="B488" s="13">
        <v>46183</v>
      </c>
      <c r="C488" s="60">
        <v>10019280</v>
      </c>
      <c r="D488" s="30" t="s">
        <v>1438</v>
      </c>
      <c r="E488" s="30" t="s">
        <v>1438</v>
      </c>
      <c r="F488" s="65" t="s">
        <v>1368</v>
      </c>
      <c r="G488" s="69">
        <v>46198</v>
      </c>
      <c r="H488" s="15" t="s">
        <v>251</v>
      </c>
      <c r="I488" s="63"/>
      <c r="J488" s="15"/>
      <c r="K488" s="29">
        <v>45125</v>
      </c>
      <c r="L488" s="29">
        <v>45992</v>
      </c>
      <c r="M488" s="29" t="s">
        <v>219</v>
      </c>
      <c r="N488" s="29" t="s">
        <v>181</v>
      </c>
      <c r="O488" s="29" t="s">
        <v>23</v>
      </c>
      <c r="P488" s="29" t="s">
        <v>214</v>
      </c>
      <c r="Q488" s="32"/>
      <c r="R488" s="14" t="s">
        <v>1222</v>
      </c>
      <c r="S488" s="37"/>
      <c r="T488" s="38"/>
      <c r="U488" s="30"/>
      <c r="V488" s="39"/>
      <c r="W488" s="40"/>
      <c r="X488" s="39"/>
      <c r="Y488" s="41"/>
      <c r="Z488" s="9"/>
      <c r="AA488" s="9"/>
      <c r="AB488" s="9"/>
      <c r="AC488" s="7">
        <v>52589</v>
      </c>
      <c r="AD488" s="33"/>
      <c r="AE488" s="33"/>
      <c r="AF488" s="33"/>
      <c r="AG488" s="66"/>
      <c r="AH488" s="44"/>
      <c r="AI488" s="45"/>
      <c r="AJ488" s="36"/>
      <c r="AK488" s="36"/>
    </row>
    <row r="489" spans="1:37" x14ac:dyDescent="0.3">
      <c r="A489" s="31"/>
      <c r="B489" s="13">
        <v>46183</v>
      </c>
      <c r="C489" s="60">
        <v>10022280</v>
      </c>
      <c r="D489" s="30" t="s">
        <v>1513</v>
      </c>
      <c r="E489" s="30" t="s">
        <v>1513</v>
      </c>
      <c r="F489" s="65" t="s">
        <v>1385</v>
      </c>
      <c r="G489" s="69">
        <v>46198</v>
      </c>
      <c r="H489" s="15" t="s">
        <v>251</v>
      </c>
      <c r="I489" s="63"/>
      <c r="J489" s="15"/>
      <c r="K489" s="29">
        <v>45605</v>
      </c>
      <c r="L489" s="29">
        <v>46029</v>
      </c>
      <c r="M489" s="29" t="s">
        <v>219</v>
      </c>
      <c r="N489" s="29" t="s">
        <v>122</v>
      </c>
      <c r="O489" s="29" t="s">
        <v>23</v>
      </c>
      <c r="P489" s="29" t="s">
        <v>214</v>
      </c>
      <c r="Q489" s="32"/>
      <c r="R489" s="14" t="s">
        <v>1222</v>
      </c>
      <c r="S489" s="37"/>
      <c r="T489" s="38"/>
      <c r="U489" s="30"/>
      <c r="V489" s="39"/>
      <c r="W489" s="40"/>
      <c r="X489" s="39"/>
      <c r="Y489" s="41"/>
      <c r="Z489" s="9"/>
      <c r="AA489" s="9"/>
      <c r="AB489" s="9"/>
      <c r="AC489" s="7">
        <v>18757</v>
      </c>
      <c r="AD489" s="33"/>
      <c r="AE489" s="33"/>
      <c r="AF489" s="33"/>
      <c r="AG489" s="66"/>
      <c r="AH489" s="44"/>
      <c r="AI489" s="45"/>
      <c r="AJ489" s="36"/>
      <c r="AK489" s="36"/>
    </row>
    <row r="490" spans="1:37" x14ac:dyDescent="0.3">
      <c r="A490" s="31"/>
      <c r="B490" s="13">
        <v>46183</v>
      </c>
      <c r="C490" s="60">
        <v>10023647</v>
      </c>
      <c r="D490" s="30" t="s">
        <v>1443</v>
      </c>
      <c r="E490" s="30" t="s">
        <v>1443</v>
      </c>
      <c r="F490" s="65" t="s">
        <v>1395</v>
      </c>
      <c r="G490" s="69">
        <v>46198</v>
      </c>
      <c r="H490" s="15" t="s">
        <v>251</v>
      </c>
      <c r="I490" s="63"/>
      <c r="J490" s="15"/>
      <c r="K490" s="29">
        <v>45770</v>
      </c>
      <c r="L490" s="29">
        <v>45992</v>
      </c>
      <c r="M490" s="29" t="s">
        <v>211</v>
      </c>
      <c r="N490" s="29" t="s">
        <v>152</v>
      </c>
      <c r="O490" s="29" t="s">
        <v>23</v>
      </c>
      <c r="P490" s="29" t="s">
        <v>212</v>
      </c>
      <c r="Q490" s="32"/>
      <c r="R490" s="14" t="s">
        <v>1222</v>
      </c>
      <c r="S490" s="37"/>
      <c r="T490" s="38"/>
      <c r="U490" s="30"/>
      <c r="V490" s="39"/>
      <c r="W490" s="40"/>
      <c r="X490" s="39"/>
      <c r="Y490" s="41"/>
      <c r="Z490" s="9"/>
      <c r="AA490" s="9"/>
      <c r="AB490" s="9"/>
      <c r="AC490" s="7">
        <v>9752</v>
      </c>
      <c r="AD490" s="33"/>
      <c r="AE490" s="33"/>
      <c r="AF490" s="33"/>
      <c r="AG490" s="66"/>
      <c r="AH490" s="44"/>
      <c r="AI490" s="45"/>
      <c r="AJ490" s="36"/>
      <c r="AK490" s="36"/>
    </row>
    <row r="491" spans="1:37" x14ac:dyDescent="0.3">
      <c r="A491" s="31"/>
      <c r="B491" s="13">
        <v>46183</v>
      </c>
      <c r="C491" s="60">
        <v>10020981</v>
      </c>
      <c r="D491" s="30" t="s">
        <v>1540</v>
      </c>
      <c r="E491" s="30" t="s">
        <v>1540</v>
      </c>
      <c r="F491" s="65" t="s">
        <v>1412</v>
      </c>
      <c r="G491" s="69">
        <v>46198</v>
      </c>
      <c r="H491" s="15" t="s">
        <v>251</v>
      </c>
      <c r="I491" s="63"/>
      <c r="J491" s="15"/>
      <c r="K491" s="29">
        <v>45413</v>
      </c>
      <c r="L491" s="29">
        <v>45689</v>
      </c>
      <c r="M491" s="29" t="s">
        <v>211</v>
      </c>
      <c r="N491" s="29" t="s">
        <v>142</v>
      </c>
      <c r="O491" s="29" t="s">
        <v>23</v>
      </c>
      <c r="P491" s="29" t="s">
        <v>212</v>
      </c>
      <c r="Q491" s="32"/>
      <c r="R491" s="14" t="s">
        <v>1222</v>
      </c>
      <c r="S491" s="37"/>
      <c r="T491" s="38"/>
      <c r="U491" s="30"/>
      <c r="V491" s="39"/>
      <c r="W491" s="40"/>
      <c r="X491" s="39"/>
      <c r="Y491" s="41"/>
      <c r="Z491" s="9"/>
      <c r="AA491" s="9"/>
      <c r="AB491" s="9"/>
      <c r="AC491" s="7">
        <v>6803</v>
      </c>
      <c r="AD491" s="33"/>
      <c r="AE491" s="33"/>
      <c r="AF491" s="33"/>
      <c r="AG491" s="66"/>
      <c r="AH491" s="44"/>
      <c r="AI491" s="45"/>
      <c r="AJ491" s="36"/>
      <c r="AK491" s="36"/>
    </row>
    <row r="492" spans="1:37" x14ac:dyDescent="0.3">
      <c r="A492" s="31"/>
      <c r="B492" s="13">
        <v>46183</v>
      </c>
      <c r="C492" s="60">
        <v>10241</v>
      </c>
      <c r="D492" s="30" t="s">
        <v>1424</v>
      </c>
      <c r="E492" s="30" t="s">
        <v>1463</v>
      </c>
      <c r="F492" s="65" t="s">
        <v>1339</v>
      </c>
      <c r="G492" s="71">
        <v>46201</v>
      </c>
      <c r="H492" s="15" t="s">
        <v>251</v>
      </c>
      <c r="I492" s="63"/>
      <c r="J492" s="15"/>
      <c r="K492" s="29">
        <v>43046</v>
      </c>
      <c r="L492" s="29">
        <v>46054</v>
      </c>
      <c r="M492" s="29" t="s">
        <v>219</v>
      </c>
      <c r="N492" s="29" t="s">
        <v>101</v>
      </c>
      <c r="O492" s="29" t="s">
        <v>23</v>
      </c>
      <c r="P492" s="29" t="s">
        <v>214</v>
      </c>
      <c r="Q492" s="32"/>
      <c r="R492" s="14" t="s">
        <v>1222</v>
      </c>
      <c r="S492" s="37"/>
      <c r="T492" s="38"/>
      <c r="U492" s="30"/>
      <c r="V492" s="39"/>
      <c r="W492" s="40"/>
      <c r="X492" s="39"/>
      <c r="Y492" s="41"/>
      <c r="Z492" s="9"/>
      <c r="AA492" s="9"/>
      <c r="AB492" s="9"/>
      <c r="AC492" s="7">
        <v>526940</v>
      </c>
      <c r="AD492" s="33"/>
      <c r="AE492" s="33"/>
      <c r="AF492" s="33"/>
      <c r="AG492" s="66"/>
      <c r="AH492" s="44"/>
      <c r="AI492" s="45"/>
      <c r="AJ492" s="36"/>
      <c r="AK492" s="36"/>
    </row>
    <row r="493" spans="1:37" x14ac:dyDescent="0.3">
      <c r="A493" s="31"/>
      <c r="B493" s="13">
        <v>46183</v>
      </c>
      <c r="C493" s="60">
        <v>10016511</v>
      </c>
      <c r="D493" s="30" t="s">
        <v>1464</v>
      </c>
      <c r="E493" s="30" t="s">
        <v>1425</v>
      </c>
      <c r="F493" s="65" t="s">
        <v>85</v>
      </c>
      <c r="G493" s="71">
        <v>46201</v>
      </c>
      <c r="H493" s="15" t="s">
        <v>251</v>
      </c>
      <c r="I493" s="63"/>
      <c r="J493" s="15"/>
      <c r="K493" s="29">
        <v>44601</v>
      </c>
      <c r="L493" s="29">
        <v>45841</v>
      </c>
      <c r="M493" s="29" t="s">
        <v>219</v>
      </c>
      <c r="N493" s="29" t="s">
        <v>100</v>
      </c>
      <c r="O493" s="29" t="s">
        <v>24</v>
      </c>
      <c r="P493" s="29" t="s">
        <v>214</v>
      </c>
      <c r="Q493" s="32">
        <v>45658</v>
      </c>
      <c r="R493" s="14" t="s">
        <v>1222</v>
      </c>
      <c r="S493" s="37"/>
      <c r="T493" s="38"/>
      <c r="U493" s="30"/>
      <c r="V493" s="39"/>
      <c r="W493" s="40"/>
      <c r="X493" s="39"/>
      <c r="Y493" s="41"/>
      <c r="Z493" s="9"/>
      <c r="AA493" s="9"/>
      <c r="AB493" s="9"/>
      <c r="AC493" s="7">
        <v>130969</v>
      </c>
      <c r="AD493" s="33"/>
      <c r="AE493" s="33"/>
      <c r="AF493" s="33"/>
      <c r="AG493" s="66"/>
      <c r="AH493" s="44"/>
      <c r="AI493" s="45"/>
      <c r="AJ493" s="36"/>
      <c r="AK493" s="36"/>
    </row>
    <row r="494" spans="1:37" x14ac:dyDescent="0.3">
      <c r="A494" s="31"/>
      <c r="B494" s="13">
        <v>46183</v>
      </c>
      <c r="C494" s="60">
        <v>1849</v>
      </c>
      <c r="D494" s="30" t="s">
        <v>1466</v>
      </c>
      <c r="E494" s="30"/>
      <c r="F494" s="65" t="s">
        <v>1341</v>
      </c>
      <c r="G494" s="71">
        <v>46201</v>
      </c>
      <c r="H494" s="15" t="s">
        <v>251</v>
      </c>
      <c r="I494" s="63"/>
      <c r="J494" s="15"/>
      <c r="K494" s="29">
        <v>40544</v>
      </c>
      <c r="L494" s="29">
        <v>46008</v>
      </c>
      <c r="M494" s="29" t="s">
        <v>1453</v>
      </c>
      <c r="N494" s="29" t="s">
        <v>112</v>
      </c>
      <c r="O494" s="29" t="s">
        <v>17</v>
      </c>
      <c r="P494" s="29" t="s">
        <v>233</v>
      </c>
      <c r="Q494" s="32">
        <v>45292</v>
      </c>
      <c r="R494" s="14" t="s">
        <v>1222</v>
      </c>
      <c r="S494" s="37"/>
      <c r="T494" s="38"/>
      <c r="U494" s="30"/>
      <c r="V494" s="39"/>
      <c r="W494" s="40"/>
      <c r="X494" s="39"/>
      <c r="Y494" s="41"/>
      <c r="Z494" s="9"/>
      <c r="AA494" s="9"/>
      <c r="AB494" s="9"/>
      <c r="AC494" s="7">
        <v>770798</v>
      </c>
      <c r="AD494" s="33"/>
      <c r="AE494" s="33"/>
      <c r="AF494" s="33"/>
      <c r="AG494" s="66"/>
      <c r="AH494" s="44"/>
      <c r="AI494" s="45"/>
      <c r="AJ494" s="36"/>
      <c r="AK494" s="36"/>
    </row>
    <row r="495" spans="1:37" x14ac:dyDescent="0.3">
      <c r="A495" s="31"/>
      <c r="B495" s="13">
        <v>46183</v>
      </c>
      <c r="C495" s="60">
        <v>2255</v>
      </c>
      <c r="D495" s="30" t="s">
        <v>1470</v>
      </c>
      <c r="E495" s="30" t="s">
        <v>1471</v>
      </c>
      <c r="F495" s="65" t="s">
        <v>13</v>
      </c>
      <c r="G495" s="71">
        <v>46201</v>
      </c>
      <c r="H495" s="15" t="s">
        <v>251</v>
      </c>
      <c r="I495" s="63"/>
      <c r="J495" s="15"/>
      <c r="K495" s="29">
        <v>39814</v>
      </c>
      <c r="L495" s="29">
        <v>46058</v>
      </c>
      <c r="M495" s="29" t="s">
        <v>1454</v>
      </c>
      <c r="N495" s="29" t="s">
        <v>99</v>
      </c>
      <c r="O495" s="29" t="s">
        <v>17</v>
      </c>
      <c r="P495" s="29" t="s">
        <v>233</v>
      </c>
      <c r="Q495" s="32">
        <v>46023</v>
      </c>
      <c r="R495" s="14" t="s">
        <v>1222</v>
      </c>
      <c r="S495" s="37"/>
      <c r="T495" s="38"/>
      <c r="U495" s="30"/>
      <c r="V495" s="39"/>
      <c r="W495" s="40"/>
      <c r="X495" s="39"/>
      <c r="Y495" s="41"/>
      <c r="Z495" s="9"/>
      <c r="AA495" s="9"/>
      <c r="AB495" s="9"/>
      <c r="AC495" s="7">
        <v>829277</v>
      </c>
      <c r="AD495" s="33"/>
      <c r="AE495" s="33"/>
      <c r="AF495" s="33"/>
      <c r="AG495" s="66"/>
      <c r="AH495" s="44"/>
      <c r="AI495" s="45"/>
      <c r="AJ495" s="36"/>
      <c r="AK495" s="36"/>
    </row>
    <row r="496" spans="1:37" x14ac:dyDescent="0.3">
      <c r="A496" s="31"/>
      <c r="B496" s="13">
        <v>46183</v>
      </c>
      <c r="C496" s="60">
        <v>10019739</v>
      </c>
      <c r="D496" s="30" t="s">
        <v>1472</v>
      </c>
      <c r="E496" s="30" t="s">
        <v>1472</v>
      </c>
      <c r="F496" s="65" t="s">
        <v>323</v>
      </c>
      <c r="G496" s="71">
        <v>46201</v>
      </c>
      <c r="H496" s="15" t="s">
        <v>251</v>
      </c>
      <c r="I496" s="63"/>
      <c r="J496" s="15"/>
      <c r="K496" s="29">
        <v>45195</v>
      </c>
      <c r="L496" s="29">
        <v>45787</v>
      </c>
      <c r="M496" s="29" t="s">
        <v>211</v>
      </c>
      <c r="N496" s="29" t="s">
        <v>91</v>
      </c>
      <c r="O496" s="29" t="s">
        <v>16</v>
      </c>
      <c r="P496" s="29" t="s">
        <v>212</v>
      </c>
      <c r="Q496" s="32"/>
      <c r="R496" s="14" t="s">
        <v>1222</v>
      </c>
      <c r="S496" s="37"/>
      <c r="T496" s="38"/>
      <c r="U496" s="30"/>
      <c r="V496" s="39"/>
      <c r="W496" s="40"/>
      <c r="X496" s="39"/>
      <c r="Y496" s="41"/>
      <c r="Z496" s="9"/>
      <c r="AA496" s="9"/>
      <c r="AB496" s="9"/>
      <c r="AC496" s="7">
        <v>72233</v>
      </c>
      <c r="AD496" s="33"/>
      <c r="AE496" s="33"/>
      <c r="AF496" s="33"/>
      <c r="AG496" s="66"/>
      <c r="AH496" s="44"/>
      <c r="AI496" s="45"/>
      <c r="AJ496" s="36"/>
      <c r="AK496" s="36"/>
    </row>
    <row r="497" spans="1:37" x14ac:dyDescent="0.3">
      <c r="A497" s="31"/>
      <c r="B497" s="13">
        <v>46183</v>
      </c>
      <c r="C497" s="60">
        <v>11913</v>
      </c>
      <c r="D497" s="30" t="s">
        <v>1427</v>
      </c>
      <c r="E497" s="30" t="s">
        <v>1477</v>
      </c>
      <c r="F497" s="65" t="s">
        <v>1347</v>
      </c>
      <c r="G497" s="71">
        <v>46201</v>
      </c>
      <c r="H497" s="15" t="s">
        <v>251</v>
      </c>
      <c r="I497" s="63"/>
      <c r="J497" s="15"/>
      <c r="K497" s="29">
        <v>43475</v>
      </c>
      <c r="L497" s="29">
        <v>46111</v>
      </c>
      <c r="M497" s="29" t="s">
        <v>1456</v>
      </c>
      <c r="N497" s="29" t="s">
        <v>104</v>
      </c>
      <c r="O497" s="29" t="s">
        <v>260</v>
      </c>
      <c r="P497" s="29" t="s">
        <v>227</v>
      </c>
      <c r="Q497" s="32"/>
      <c r="R497" s="14" t="s">
        <v>1222</v>
      </c>
      <c r="S497" s="37"/>
      <c r="T497" s="38"/>
      <c r="U497" s="30"/>
      <c r="V497" s="39"/>
      <c r="W497" s="40"/>
      <c r="X497" s="39"/>
      <c r="Y497" s="41"/>
      <c r="Z497" s="9"/>
      <c r="AA497" s="9"/>
      <c r="AB497" s="9"/>
      <c r="AC497" s="7">
        <v>239704</v>
      </c>
      <c r="AD497" s="33"/>
      <c r="AE497" s="33"/>
      <c r="AF497" s="33"/>
      <c r="AG497" s="66"/>
      <c r="AH497" s="44"/>
      <c r="AI497" s="45"/>
      <c r="AJ497" s="36"/>
      <c r="AK497" s="36"/>
    </row>
    <row r="498" spans="1:37" x14ac:dyDescent="0.3">
      <c r="A498" s="31"/>
      <c r="B498" s="13">
        <v>46183</v>
      </c>
      <c r="C498" s="60">
        <v>10020843</v>
      </c>
      <c r="D498" s="30" t="s">
        <v>1478</v>
      </c>
      <c r="E498" s="30" t="s">
        <v>1478</v>
      </c>
      <c r="F498" s="65" t="s">
        <v>49</v>
      </c>
      <c r="G498" s="71">
        <v>46201</v>
      </c>
      <c r="H498" s="15" t="s">
        <v>251</v>
      </c>
      <c r="I498" s="63"/>
      <c r="J498" s="15"/>
      <c r="K498" s="29">
        <v>45376</v>
      </c>
      <c r="L498" s="29">
        <v>45859</v>
      </c>
      <c r="M498" s="29" t="s">
        <v>211</v>
      </c>
      <c r="N498" s="29" t="s">
        <v>119</v>
      </c>
      <c r="O498" s="29" t="s">
        <v>23</v>
      </c>
      <c r="P498" s="29" t="s">
        <v>212</v>
      </c>
      <c r="Q498" s="32"/>
      <c r="R498" s="14" t="s">
        <v>1222</v>
      </c>
      <c r="S498" s="37"/>
      <c r="T498" s="38"/>
      <c r="U498" s="30"/>
      <c r="V498" s="39"/>
      <c r="W498" s="40"/>
      <c r="X498" s="39"/>
      <c r="Y498" s="41"/>
      <c r="Z498" s="9"/>
      <c r="AA498" s="9"/>
      <c r="AB498" s="9"/>
      <c r="AC498" s="7">
        <v>54140</v>
      </c>
      <c r="AD498" s="33"/>
      <c r="AE498" s="33"/>
      <c r="AF498" s="33"/>
      <c r="AG498" s="66"/>
      <c r="AH498" s="44"/>
      <c r="AI498" s="45"/>
      <c r="AJ498" s="36"/>
      <c r="AK498" s="36"/>
    </row>
    <row r="499" spans="1:37" x14ac:dyDescent="0.3">
      <c r="A499" s="31"/>
      <c r="B499" s="13">
        <v>46183</v>
      </c>
      <c r="C499" s="60">
        <v>10019091</v>
      </c>
      <c r="D499" s="30" t="s">
        <v>1428</v>
      </c>
      <c r="E499" s="30" t="s">
        <v>1428</v>
      </c>
      <c r="F499" s="65" t="s">
        <v>1348</v>
      </c>
      <c r="G499" s="71">
        <v>46201</v>
      </c>
      <c r="H499" s="15" t="s">
        <v>251</v>
      </c>
      <c r="I499" s="63"/>
      <c r="J499" s="15"/>
      <c r="K499" s="29">
        <v>45111</v>
      </c>
      <c r="L499" s="29">
        <v>45962</v>
      </c>
      <c r="M499" s="29" t="s">
        <v>211</v>
      </c>
      <c r="N499" s="29" t="s">
        <v>96</v>
      </c>
      <c r="O499" s="29" t="s">
        <v>23</v>
      </c>
      <c r="P499" s="29" t="s">
        <v>212</v>
      </c>
      <c r="Q499" s="32"/>
      <c r="R499" s="14" t="s">
        <v>1222</v>
      </c>
      <c r="S499" s="37"/>
      <c r="T499" s="38"/>
      <c r="U499" s="30"/>
      <c r="V499" s="39"/>
      <c r="W499" s="40"/>
      <c r="X499" s="39"/>
      <c r="Y499" s="41"/>
      <c r="Z499" s="9"/>
      <c r="AA499" s="9"/>
      <c r="AB499" s="9"/>
      <c r="AC499" s="7">
        <v>70408</v>
      </c>
      <c r="AD499" s="33"/>
      <c r="AE499" s="33"/>
      <c r="AF499" s="33"/>
      <c r="AG499" s="66"/>
      <c r="AH499" s="44"/>
      <c r="AI499" s="45"/>
      <c r="AJ499" s="36"/>
      <c r="AK499" s="36"/>
    </row>
    <row r="500" spans="1:37" x14ac:dyDescent="0.3">
      <c r="A500" s="31"/>
      <c r="B500" s="13">
        <v>46183</v>
      </c>
      <c r="C500" s="60">
        <v>10018734</v>
      </c>
      <c r="D500" s="30" t="s">
        <v>1429</v>
      </c>
      <c r="E500" s="30" t="s">
        <v>1479</v>
      </c>
      <c r="F500" s="65" t="s">
        <v>1349</v>
      </c>
      <c r="G500" s="71">
        <v>46201</v>
      </c>
      <c r="H500" s="15" t="s">
        <v>251</v>
      </c>
      <c r="I500" s="63"/>
      <c r="J500" s="15"/>
      <c r="K500" s="29">
        <v>45046</v>
      </c>
      <c r="L500" s="29">
        <v>45901</v>
      </c>
      <c r="M500" s="29" t="s">
        <v>219</v>
      </c>
      <c r="N500" s="29" t="s">
        <v>168</v>
      </c>
      <c r="O500" s="29" t="s">
        <v>23</v>
      </c>
      <c r="P500" s="29" t="s">
        <v>214</v>
      </c>
      <c r="Q500" s="32">
        <v>45292</v>
      </c>
      <c r="R500" s="14" t="s">
        <v>1222</v>
      </c>
      <c r="S500" s="37"/>
      <c r="T500" s="38"/>
      <c r="U500" s="30"/>
      <c r="V500" s="39"/>
      <c r="W500" s="40"/>
      <c r="X500" s="39"/>
      <c r="Y500" s="41"/>
      <c r="Z500" s="9"/>
      <c r="AA500" s="9"/>
      <c r="AB500" s="9"/>
      <c r="AC500" s="7">
        <v>76704</v>
      </c>
      <c r="AD500" s="33"/>
      <c r="AE500" s="33"/>
      <c r="AF500" s="33"/>
      <c r="AG500" s="66"/>
      <c r="AH500" s="44"/>
      <c r="AI500" s="45"/>
      <c r="AJ500" s="36"/>
      <c r="AK500" s="36"/>
    </row>
    <row r="501" spans="1:37" x14ac:dyDescent="0.3">
      <c r="A501" s="31"/>
      <c r="B501" s="13">
        <v>46183</v>
      </c>
      <c r="C501" s="60">
        <v>14615</v>
      </c>
      <c r="D501" s="30" t="s">
        <v>1554</v>
      </c>
      <c r="E501" s="30" t="s">
        <v>1481</v>
      </c>
      <c r="F501" s="65" t="s">
        <v>1352</v>
      </c>
      <c r="G501" s="71">
        <v>46201</v>
      </c>
      <c r="H501" s="15" t="s">
        <v>251</v>
      </c>
      <c r="I501" s="63"/>
      <c r="J501" s="15"/>
      <c r="K501" s="29">
        <v>44157</v>
      </c>
      <c r="L501" s="29">
        <v>45962</v>
      </c>
      <c r="M501" s="29" t="s">
        <v>219</v>
      </c>
      <c r="N501" s="29" t="s">
        <v>145</v>
      </c>
      <c r="O501" s="29" t="s">
        <v>24</v>
      </c>
      <c r="P501" s="29" t="s">
        <v>214</v>
      </c>
      <c r="Q501" s="32"/>
      <c r="R501" s="14" t="s">
        <v>1222</v>
      </c>
      <c r="S501" s="37"/>
      <c r="T501" s="38"/>
      <c r="U501" s="30"/>
      <c r="V501" s="39"/>
      <c r="W501" s="40"/>
      <c r="X501" s="39"/>
      <c r="Y501" s="41"/>
      <c r="Z501" s="9"/>
      <c r="AA501" s="9"/>
      <c r="AB501" s="9"/>
      <c r="AC501" s="7">
        <v>211416</v>
      </c>
      <c r="AD501" s="33"/>
      <c r="AE501" s="33"/>
      <c r="AF501" s="33"/>
      <c r="AG501" s="66"/>
      <c r="AH501" s="44"/>
      <c r="AI501" s="45"/>
      <c r="AJ501" s="36"/>
      <c r="AK501" s="36"/>
    </row>
    <row r="502" spans="1:37" x14ac:dyDescent="0.3">
      <c r="A502" s="31"/>
      <c r="B502" s="13">
        <v>46183</v>
      </c>
      <c r="C502" s="60">
        <v>10021138</v>
      </c>
      <c r="D502" s="30" t="s">
        <v>1488</v>
      </c>
      <c r="E502" s="30" t="s">
        <v>1488</v>
      </c>
      <c r="F502" s="65" t="s">
        <v>1357</v>
      </c>
      <c r="G502" s="71">
        <v>46201</v>
      </c>
      <c r="H502" s="15" t="s">
        <v>251</v>
      </c>
      <c r="I502" s="63"/>
      <c r="J502" s="15"/>
      <c r="K502" s="29">
        <v>45437</v>
      </c>
      <c r="L502" s="29">
        <v>46023</v>
      </c>
      <c r="M502" s="29" t="s">
        <v>211</v>
      </c>
      <c r="N502" s="29" t="s">
        <v>182</v>
      </c>
      <c r="O502" s="29" t="s">
        <v>23</v>
      </c>
      <c r="P502" s="29" t="s">
        <v>212</v>
      </c>
      <c r="Q502" s="32"/>
      <c r="R502" s="14" t="s">
        <v>1222</v>
      </c>
      <c r="S502" s="37"/>
      <c r="T502" s="38"/>
      <c r="U502" s="30"/>
      <c r="V502" s="39"/>
      <c r="W502" s="40"/>
      <c r="X502" s="39"/>
      <c r="Y502" s="41"/>
      <c r="Z502" s="9"/>
      <c r="AA502" s="9"/>
      <c r="AB502" s="9"/>
      <c r="AC502" s="7">
        <v>32846</v>
      </c>
      <c r="AD502" s="33"/>
      <c r="AE502" s="33"/>
      <c r="AF502" s="33"/>
      <c r="AG502" s="66"/>
      <c r="AH502" s="44"/>
      <c r="AI502" s="45"/>
      <c r="AJ502" s="36"/>
      <c r="AK502" s="36"/>
    </row>
    <row r="503" spans="1:37" x14ac:dyDescent="0.3">
      <c r="A503" s="31"/>
      <c r="B503" s="13">
        <v>46183</v>
      </c>
      <c r="C503" s="60">
        <v>10022417</v>
      </c>
      <c r="D503" s="30" t="s">
        <v>1489</v>
      </c>
      <c r="E503" s="30" t="s">
        <v>1489</v>
      </c>
      <c r="F503" s="65" t="s">
        <v>1358</v>
      </c>
      <c r="G503" s="71">
        <v>46201</v>
      </c>
      <c r="H503" s="15" t="s">
        <v>251</v>
      </c>
      <c r="I503" s="63"/>
      <c r="J503" s="15"/>
      <c r="K503" s="29">
        <v>45619</v>
      </c>
      <c r="L503" s="29">
        <v>45992</v>
      </c>
      <c r="M503" s="29" t="s">
        <v>211</v>
      </c>
      <c r="N503" s="29" t="s">
        <v>161</v>
      </c>
      <c r="O503" s="29" t="s">
        <v>23</v>
      </c>
      <c r="P503" s="29" t="s">
        <v>212</v>
      </c>
      <c r="Q503" s="32"/>
      <c r="R503" s="14" t="s">
        <v>1222</v>
      </c>
      <c r="S503" s="37"/>
      <c r="T503" s="38"/>
      <c r="U503" s="30"/>
      <c r="V503" s="39"/>
      <c r="W503" s="40"/>
      <c r="X503" s="39"/>
      <c r="Y503" s="41"/>
      <c r="Z503" s="9"/>
      <c r="AA503" s="9"/>
      <c r="AB503" s="9"/>
      <c r="AC503" s="7">
        <v>27362</v>
      </c>
      <c r="AD503" s="33"/>
      <c r="AE503" s="33"/>
      <c r="AF503" s="33"/>
      <c r="AG503" s="66"/>
      <c r="AH503" s="44"/>
      <c r="AI503" s="45"/>
      <c r="AJ503" s="36"/>
      <c r="AK503" s="36"/>
    </row>
    <row r="504" spans="1:37" x14ac:dyDescent="0.3">
      <c r="A504" s="31"/>
      <c r="B504" s="13">
        <v>46183</v>
      </c>
      <c r="C504" s="60">
        <v>10023641</v>
      </c>
      <c r="D504" s="30" t="s">
        <v>1557</v>
      </c>
      <c r="E504" s="30" t="s">
        <v>1495</v>
      </c>
      <c r="F504" s="65" t="s">
        <v>1364</v>
      </c>
      <c r="G504" s="71">
        <v>46201</v>
      </c>
      <c r="H504" s="15" t="s">
        <v>251</v>
      </c>
      <c r="I504" s="63"/>
      <c r="J504" s="15"/>
      <c r="K504" s="29">
        <v>45784</v>
      </c>
      <c r="L504" s="29">
        <v>46116</v>
      </c>
      <c r="M504" s="29" t="s">
        <v>224</v>
      </c>
      <c r="N504" s="29" t="s">
        <v>309</v>
      </c>
      <c r="O504" s="29" t="s">
        <v>26</v>
      </c>
      <c r="P504" s="29" t="s">
        <v>217</v>
      </c>
      <c r="Q504" s="32"/>
      <c r="R504" s="14" t="s">
        <v>1222</v>
      </c>
      <c r="S504" s="37"/>
      <c r="T504" s="38"/>
      <c r="U504" s="30"/>
      <c r="V504" s="39"/>
      <c r="W504" s="40"/>
      <c r="X504" s="39"/>
      <c r="Y504" s="41"/>
      <c r="Z504" s="9"/>
      <c r="AA504" s="9"/>
      <c r="AB504" s="9"/>
      <c r="AC504" s="7">
        <v>29391</v>
      </c>
      <c r="AD504" s="33"/>
      <c r="AE504" s="33"/>
      <c r="AF504" s="33"/>
      <c r="AG504" s="66"/>
      <c r="AH504" s="44"/>
      <c r="AI504" s="45"/>
      <c r="AJ504" s="36"/>
      <c r="AK504" s="36"/>
    </row>
    <row r="505" spans="1:37" x14ac:dyDescent="0.3">
      <c r="A505" s="31"/>
      <c r="B505" s="13">
        <v>46183</v>
      </c>
      <c r="C505" s="60">
        <v>14525</v>
      </c>
      <c r="D505" s="30" t="s">
        <v>1437</v>
      </c>
      <c r="E505" s="30" t="s">
        <v>1497</v>
      </c>
      <c r="F505" s="65" t="s">
        <v>1367</v>
      </c>
      <c r="G505" s="71">
        <v>46201</v>
      </c>
      <c r="H505" s="15" t="s">
        <v>251</v>
      </c>
      <c r="I505" s="63"/>
      <c r="J505" s="15"/>
      <c r="K505" s="29">
        <v>44131</v>
      </c>
      <c r="L505" s="29">
        <v>45904</v>
      </c>
      <c r="M505" s="29" t="s">
        <v>216</v>
      </c>
      <c r="N505" s="29" t="s">
        <v>139</v>
      </c>
      <c r="O505" s="29" t="s">
        <v>23</v>
      </c>
      <c r="P505" s="29" t="s">
        <v>217</v>
      </c>
      <c r="Q505" s="32">
        <v>45566</v>
      </c>
      <c r="R505" s="14" t="s">
        <v>1222</v>
      </c>
      <c r="S505" s="37"/>
      <c r="T505" s="38"/>
      <c r="U505" s="30"/>
      <c r="V505" s="39"/>
      <c r="W505" s="40"/>
      <c r="X505" s="39"/>
      <c r="Y505" s="41"/>
      <c r="Z505" s="9"/>
      <c r="AA505" s="9"/>
      <c r="AB505" s="9"/>
      <c r="AC505" s="7">
        <v>175040</v>
      </c>
      <c r="AD505" s="33"/>
      <c r="AE505" s="33"/>
      <c r="AF505" s="33"/>
      <c r="AG505" s="66"/>
      <c r="AH505" s="44"/>
      <c r="AI505" s="45"/>
      <c r="AJ505" s="36"/>
      <c r="AK505" s="36"/>
    </row>
    <row r="506" spans="1:37" x14ac:dyDescent="0.3">
      <c r="A506" s="31"/>
      <c r="B506" s="13">
        <v>46183</v>
      </c>
      <c r="C506" s="60">
        <v>10022373</v>
      </c>
      <c r="D506" s="30" t="s">
        <v>1499</v>
      </c>
      <c r="E506" s="30" t="s">
        <v>1499</v>
      </c>
      <c r="F506" s="65" t="s">
        <v>1370</v>
      </c>
      <c r="G506" s="71">
        <v>46201</v>
      </c>
      <c r="H506" s="15" t="s">
        <v>251</v>
      </c>
      <c r="I506" s="63"/>
      <c r="J506" s="15"/>
      <c r="K506" s="29">
        <v>45613</v>
      </c>
      <c r="L506" s="29">
        <v>46022</v>
      </c>
      <c r="M506" s="29" t="s">
        <v>211</v>
      </c>
      <c r="N506" s="29" t="s">
        <v>173</v>
      </c>
      <c r="O506" s="29" t="s">
        <v>16</v>
      </c>
      <c r="P506" s="29" t="s">
        <v>212</v>
      </c>
      <c r="Q506" s="32"/>
      <c r="R506" s="14" t="s">
        <v>1222</v>
      </c>
      <c r="S506" s="37"/>
      <c r="T506" s="38"/>
      <c r="U506" s="30"/>
      <c r="V506" s="39"/>
      <c r="W506" s="40"/>
      <c r="X506" s="39"/>
      <c r="Y506" s="41"/>
      <c r="Z506" s="9"/>
      <c r="AA506" s="9"/>
      <c r="AB506" s="9"/>
      <c r="AC506" s="7">
        <v>29417</v>
      </c>
      <c r="AD506" s="33"/>
      <c r="AE506" s="33"/>
      <c r="AF506" s="33"/>
      <c r="AG506" s="66"/>
      <c r="AH506" s="44"/>
      <c r="AI506" s="45"/>
      <c r="AJ506" s="36"/>
      <c r="AK506" s="36"/>
    </row>
    <row r="507" spans="1:37" x14ac:dyDescent="0.3">
      <c r="A507" s="31"/>
      <c r="B507" s="13">
        <v>46183</v>
      </c>
      <c r="C507" s="60">
        <v>10019778</v>
      </c>
      <c r="D507" s="30" t="s">
        <v>1440</v>
      </c>
      <c r="E507" s="30" t="s">
        <v>1440</v>
      </c>
      <c r="F507" s="65" t="s">
        <v>1373</v>
      </c>
      <c r="G507" s="71">
        <v>46201</v>
      </c>
      <c r="H507" s="15" t="s">
        <v>251</v>
      </c>
      <c r="I507" s="63"/>
      <c r="J507" s="15"/>
      <c r="K507" s="29">
        <v>45215</v>
      </c>
      <c r="L507" s="29">
        <v>46111</v>
      </c>
      <c r="M507" s="29" t="s">
        <v>1457</v>
      </c>
      <c r="N507" s="29" t="s">
        <v>104</v>
      </c>
      <c r="O507" s="29" t="s">
        <v>260</v>
      </c>
      <c r="P507" s="29" t="s">
        <v>221</v>
      </c>
      <c r="Q507" s="32"/>
      <c r="R507" s="14" t="s">
        <v>1222</v>
      </c>
      <c r="S507" s="37"/>
      <c r="T507" s="38"/>
      <c r="U507" s="30"/>
      <c r="V507" s="39"/>
      <c r="W507" s="40"/>
      <c r="X507" s="39"/>
      <c r="Y507" s="41"/>
      <c r="Z507" s="9"/>
      <c r="AA507" s="9"/>
      <c r="AB507" s="9"/>
      <c r="AC507" s="7">
        <v>38725</v>
      </c>
      <c r="AD507" s="33"/>
      <c r="AE507" s="33"/>
      <c r="AF507" s="33"/>
      <c r="AG507" s="66"/>
      <c r="AH507" s="44"/>
      <c r="AI507" s="45"/>
      <c r="AJ507" s="36"/>
      <c r="AK507" s="36"/>
    </row>
    <row r="508" spans="1:37" x14ac:dyDescent="0.3">
      <c r="A508" s="31"/>
      <c r="B508" s="13">
        <v>46183</v>
      </c>
      <c r="C508" s="60">
        <v>10024198</v>
      </c>
      <c r="D508" s="30" t="s">
        <v>1504</v>
      </c>
      <c r="E508" s="30" t="s">
        <v>1504</v>
      </c>
      <c r="F508" s="65" t="s">
        <v>1374</v>
      </c>
      <c r="G508" s="71">
        <v>46201</v>
      </c>
      <c r="H508" s="15" t="s">
        <v>251</v>
      </c>
      <c r="I508" s="63"/>
      <c r="J508" s="15"/>
      <c r="K508" s="29">
        <v>45868</v>
      </c>
      <c r="L508" s="29">
        <v>46023</v>
      </c>
      <c r="M508" s="29" t="s">
        <v>219</v>
      </c>
      <c r="N508" s="29" t="s">
        <v>118</v>
      </c>
      <c r="O508" s="29" t="s">
        <v>23</v>
      </c>
      <c r="P508" s="29" t="s">
        <v>214</v>
      </c>
      <c r="Q508" s="32"/>
      <c r="R508" s="14" t="s">
        <v>1222</v>
      </c>
      <c r="S508" s="37"/>
      <c r="T508" s="38"/>
      <c r="U508" s="30"/>
      <c r="V508" s="39"/>
      <c r="W508" s="40"/>
      <c r="X508" s="39"/>
      <c r="Y508" s="41"/>
      <c r="Z508" s="9"/>
      <c r="AA508" s="9"/>
      <c r="AB508" s="9"/>
      <c r="AC508" s="7">
        <v>18686</v>
      </c>
      <c r="AD508" s="33"/>
      <c r="AE508" s="33"/>
      <c r="AF508" s="33"/>
      <c r="AG508" s="66"/>
      <c r="AH508" s="44"/>
      <c r="AI508" s="45"/>
      <c r="AJ508" s="36"/>
      <c r="AK508" s="36"/>
    </row>
    <row r="509" spans="1:37" x14ac:dyDescent="0.3">
      <c r="A509" s="31"/>
      <c r="B509" s="13">
        <v>46183</v>
      </c>
      <c r="C509" s="60">
        <v>10022086</v>
      </c>
      <c r="D509" s="30" t="s">
        <v>1505</v>
      </c>
      <c r="E509" s="30" t="s">
        <v>1505</v>
      </c>
      <c r="F509" s="65" t="s">
        <v>1375</v>
      </c>
      <c r="G509" s="71">
        <v>46201</v>
      </c>
      <c r="H509" s="15" t="s">
        <v>251</v>
      </c>
      <c r="I509" s="63"/>
      <c r="J509" s="15"/>
      <c r="K509" s="29">
        <v>45574</v>
      </c>
      <c r="L509" s="29">
        <v>45820</v>
      </c>
      <c r="M509" s="29" t="s">
        <v>219</v>
      </c>
      <c r="N509" s="29" t="s">
        <v>98</v>
      </c>
      <c r="O509" s="29" t="s">
        <v>23</v>
      </c>
      <c r="P509" s="29" t="s">
        <v>214</v>
      </c>
      <c r="Q509" s="32"/>
      <c r="R509" s="14" t="s">
        <v>1222</v>
      </c>
      <c r="S509" s="37"/>
      <c r="T509" s="38"/>
      <c r="U509" s="30"/>
      <c r="V509" s="39"/>
      <c r="W509" s="40"/>
      <c r="X509" s="39"/>
      <c r="Y509" s="41"/>
      <c r="Z509" s="9"/>
      <c r="AA509" s="9"/>
      <c r="AB509" s="9"/>
      <c r="AC509" s="7">
        <v>18155</v>
      </c>
      <c r="AD509" s="33"/>
      <c r="AE509" s="33"/>
      <c r="AF509" s="33"/>
      <c r="AG509" s="66"/>
      <c r="AH509" s="44"/>
      <c r="AI509" s="45"/>
      <c r="AJ509" s="36"/>
      <c r="AK509" s="36"/>
    </row>
    <row r="510" spans="1:37" x14ac:dyDescent="0.3">
      <c r="A510" s="31"/>
      <c r="B510" s="13">
        <v>46183</v>
      </c>
      <c r="C510" s="60">
        <v>30017998</v>
      </c>
      <c r="D510" s="30" t="s">
        <v>1507</v>
      </c>
      <c r="E510" s="30" t="s">
        <v>1507</v>
      </c>
      <c r="F510" s="65" t="s">
        <v>1378</v>
      </c>
      <c r="G510" s="71">
        <v>46201</v>
      </c>
      <c r="H510" s="15" t="s">
        <v>251</v>
      </c>
      <c r="I510" s="63"/>
      <c r="J510" s="15"/>
      <c r="K510" s="29">
        <v>46023</v>
      </c>
      <c r="L510" s="29">
        <v>46055</v>
      </c>
      <c r="M510" s="29" t="s">
        <v>235</v>
      </c>
      <c r="N510" s="29" t="s">
        <v>150</v>
      </c>
      <c r="O510" s="29" t="s">
        <v>17</v>
      </c>
      <c r="P510" s="29" t="s">
        <v>221</v>
      </c>
      <c r="Q510" s="32"/>
      <c r="R510" s="14" t="s">
        <v>1222</v>
      </c>
      <c r="S510" s="37"/>
      <c r="T510" s="38"/>
      <c r="U510" s="30"/>
      <c r="V510" s="39"/>
      <c r="W510" s="40"/>
      <c r="X510" s="39"/>
      <c r="Y510" s="41"/>
      <c r="Z510" s="9"/>
      <c r="AA510" s="9"/>
      <c r="AB510" s="9"/>
      <c r="AC510" s="7">
        <v>16571</v>
      </c>
      <c r="AD510" s="33"/>
      <c r="AE510" s="33"/>
      <c r="AF510" s="33"/>
      <c r="AG510" s="66"/>
      <c r="AH510" s="44"/>
      <c r="AI510" s="45"/>
      <c r="AJ510" s="36"/>
      <c r="AK510" s="36"/>
    </row>
    <row r="511" spans="1:37" x14ac:dyDescent="0.3">
      <c r="A511" s="31"/>
      <c r="B511" s="13">
        <v>46183</v>
      </c>
      <c r="C511" s="60">
        <v>11929</v>
      </c>
      <c r="D511" s="30" t="s">
        <v>1559</v>
      </c>
      <c r="E511" s="30"/>
      <c r="F511" s="65" t="s">
        <v>1380</v>
      </c>
      <c r="G511" s="71">
        <v>46201</v>
      </c>
      <c r="H511" s="15" t="s">
        <v>251</v>
      </c>
      <c r="I511" s="63"/>
      <c r="J511" s="15"/>
      <c r="K511" s="29">
        <v>43471</v>
      </c>
      <c r="L511" s="29">
        <v>46054</v>
      </c>
      <c r="M511" s="29" t="s">
        <v>1458</v>
      </c>
      <c r="N511" s="29" t="s">
        <v>162</v>
      </c>
      <c r="O511" s="29" t="s">
        <v>17</v>
      </c>
      <c r="P511" s="29" t="s">
        <v>229</v>
      </c>
      <c r="Q511" s="32">
        <v>46023</v>
      </c>
      <c r="R511" s="14" t="s">
        <v>1222</v>
      </c>
      <c r="S511" s="37"/>
      <c r="T511" s="38"/>
      <c r="U511" s="30"/>
      <c r="V511" s="39"/>
      <c r="W511" s="40"/>
      <c r="X511" s="39"/>
      <c r="Y511" s="41"/>
      <c r="Z511" s="9"/>
      <c r="AA511" s="9"/>
      <c r="AB511" s="9"/>
      <c r="AC511" s="7">
        <v>201874</v>
      </c>
      <c r="AD511" s="33"/>
      <c r="AE511" s="33"/>
      <c r="AF511" s="33"/>
      <c r="AG511" s="66"/>
      <c r="AH511" s="44"/>
      <c r="AI511" s="45"/>
      <c r="AJ511" s="36"/>
      <c r="AK511" s="36"/>
    </row>
    <row r="512" spans="1:37" x14ac:dyDescent="0.3">
      <c r="A512" s="31"/>
      <c r="B512" s="13">
        <v>46183</v>
      </c>
      <c r="C512" s="60">
        <v>10020092</v>
      </c>
      <c r="D512" s="30" t="s">
        <v>1560</v>
      </c>
      <c r="E512" s="30" t="s">
        <v>1510</v>
      </c>
      <c r="F512" s="65" t="s">
        <v>1381</v>
      </c>
      <c r="G512" s="71">
        <v>46201</v>
      </c>
      <c r="H512" s="15" t="s">
        <v>251</v>
      </c>
      <c r="I512" s="63"/>
      <c r="J512" s="15"/>
      <c r="K512" s="29">
        <v>45297</v>
      </c>
      <c r="L512" s="29">
        <v>45931</v>
      </c>
      <c r="M512" s="29" t="s">
        <v>211</v>
      </c>
      <c r="N512" s="29" t="s">
        <v>177</v>
      </c>
      <c r="O512" s="29" t="s">
        <v>24</v>
      </c>
      <c r="P512" s="29" t="s">
        <v>212</v>
      </c>
      <c r="Q512" s="32"/>
      <c r="R512" s="14" t="s">
        <v>1222</v>
      </c>
      <c r="S512" s="37"/>
      <c r="T512" s="38"/>
      <c r="U512" s="30"/>
      <c r="V512" s="39"/>
      <c r="W512" s="40"/>
      <c r="X512" s="39"/>
      <c r="Y512" s="41"/>
      <c r="Z512" s="9"/>
      <c r="AA512" s="9"/>
      <c r="AB512" s="9"/>
      <c r="AC512" s="7">
        <v>37030</v>
      </c>
      <c r="AD512" s="33"/>
      <c r="AE512" s="33"/>
      <c r="AF512" s="33"/>
      <c r="AG512" s="66"/>
      <c r="AH512" s="44"/>
      <c r="AI512" s="45"/>
      <c r="AJ512" s="36"/>
      <c r="AK512" s="36"/>
    </row>
    <row r="513" spans="1:37" x14ac:dyDescent="0.3">
      <c r="A513" s="31"/>
      <c r="B513" s="13">
        <v>46183</v>
      </c>
      <c r="C513" s="60">
        <v>14050</v>
      </c>
      <c r="D513" s="30" t="s">
        <v>1511</v>
      </c>
      <c r="E513" s="30"/>
      <c r="F513" s="65" t="s">
        <v>1382</v>
      </c>
      <c r="G513" s="71">
        <v>46201</v>
      </c>
      <c r="H513" s="15" t="s">
        <v>251</v>
      </c>
      <c r="I513" s="63"/>
      <c r="J513" s="15"/>
      <c r="K513" s="29">
        <v>43904</v>
      </c>
      <c r="L513" s="29">
        <v>45962</v>
      </c>
      <c r="M513" s="29" t="s">
        <v>239</v>
      </c>
      <c r="N513" s="29" t="s">
        <v>859</v>
      </c>
      <c r="O513" s="29" t="s">
        <v>17</v>
      </c>
      <c r="P513" s="29" t="s">
        <v>229</v>
      </c>
      <c r="Q513" s="32">
        <v>45292</v>
      </c>
      <c r="R513" s="14" t="s">
        <v>1222</v>
      </c>
      <c r="S513" s="37"/>
      <c r="T513" s="38"/>
      <c r="U513" s="30"/>
      <c r="V513" s="39"/>
      <c r="W513" s="40"/>
      <c r="X513" s="39"/>
      <c r="Y513" s="41"/>
      <c r="Z513" s="9"/>
      <c r="AA513" s="9"/>
      <c r="AB513" s="9"/>
      <c r="AC513" s="7">
        <v>165119</v>
      </c>
      <c r="AD513" s="33"/>
      <c r="AE513" s="33"/>
      <c r="AF513" s="33"/>
      <c r="AG513" s="66"/>
      <c r="AH513" s="44"/>
      <c r="AI513" s="45"/>
      <c r="AJ513" s="36"/>
      <c r="AK513" s="36"/>
    </row>
    <row r="514" spans="1:37" x14ac:dyDescent="0.3">
      <c r="A514" s="31"/>
      <c r="B514" s="13">
        <v>46183</v>
      </c>
      <c r="C514" s="60">
        <v>10018011</v>
      </c>
      <c r="D514" s="30" t="s">
        <v>1441</v>
      </c>
      <c r="E514" s="30" t="s">
        <v>1441</v>
      </c>
      <c r="F514" s="65" t="s">
        <v>1383</v>
      </c>
      <c r="G514" s="71">
        <v>46201</v>
      </c>
      <c r="H514" s="15" t="s">
        <v>251</v>
      </c>
      <c r="I514" s="63"/>
      <c r="J514" s="15"/>
      <c r="K514" s="29">
        <v>44902</v>
      </c>
      <c r="L514" s="29">
        <v>45969</v>
      </c>
      <c r="M514" s="29" t="s">
        <v>220</v>
      </c>
      <c r="N514" s="29" t="s">
        <v>107</v>
      </c>
      <c r="O514" s="29" t="s">
        <v>17</v>
      </c>
      <c r="P514" s="29" t="s">
        <v>221</v>
      </c>
      <c r="Q514" s="32"/>
      <c r="R514" s="14" t="s">
        <v>1222</v>
      </c>
      <c r="S514" s="37"/>
      <c r="T514" s="38"/>
      <c r="U514" s="30"/>
      <c r="V514" s="39"/>
      <c r="W514" s="40"/>
      <c r="X514" s="39"/>
      <c r="Y514" s="41"/>
      <c r="Z514" s="9"/>
      <c r="AA514" s="9"/>
      <c r="AB514" s="9"/>
      <c r="AC514" s="7">
        <v>51241</v>
      </c>
      <c r="AD514" s="33"/>
      <c r="AE514" s="33"/>
      <c r="AF514" s="33"/>
      <c r="AG514" s="66"/>
      <c r="AH514" s="44"/>
      <c r="AI514" s="45"/>
      <c r="AJ514" s="36"/>
      <c r="AK514" s="36"/>
    </row>
    <row r="515" spans="1:37" x14ac:dyDescent="0.3">
      <c r="A515" s="31"/>
      <c r="B515" s="13">
        <v>46183</v>
      </c>
      <c r="C515" s="60">
        <v>10023814</v>
      </c>
      <c r="D515" s="30" t="s">
        <v>1514</v>
      </c>
      <c r="E515" s="30" t="s">
        <v>1514</v>
      </c>
      <c r="F515" s="65" t="s">
        <v>1386</v>
      </c>
      <c r="G515" s="71">
        <v>46201</v>
      </c>
      <c r="H515" s="15" t="s">
        <v>251</v>
      </c>
      <c r="I515" s="63"/>
      <c r="J515" s="15"/>
      <c r="K515" s="29">
        <v>45785</v>
      </c>
      <c r="L515" s="29">
        <v>45874</v>
      </c>
      <c r="M515" s="29" t="s">
        <v>219</v>
      </c>
      <c r="N515" s="29" t="s">
        <v>103</v>
      </c>
      <c r="O515" s="29" t="s">
        <v>23</v>
      </c>
      <c r="P515" s="29" t="s">
        <v>214</v>
      </c>
      <c r="Q515" s="32"/>
      <c r="R515" s="14" t="s">
        <v>1222</v>
      </c>
      <c r="S515" s="37"/>
      <c r="T515" s="38"/>
      <c r="U515" s="30"/>
      <c r="V515" s="39"/>
      <c r="W515" s="40"/>
      <c r="X515" s="39"/>
      <c r="Y515" s="41"/>
      <c r="Z515" s="9"/>
      <c r="AA515" s="9"/>
      <c r="AB515" s="9"/>
      <c r="AC515" s="7">
        <v>13125</v>
      </c>
      <c r="AD515" s="33"/>
      <c r="AE515" s="33"/>
      <c r="AF515" s="33"/>
      <c r="AG515" s="66"/>
      <c r="AH515" s="44"/>
      <c r="AI515" s="45"/>
      <c r="AJ515" s="36"/>
      <c r="AK515" s="36"/>
    </row>
    <row r="516" spans="1:37" x14ac:dyDescent="0.3">
      <c r="A516" s="31"/>
      <c r="B516" s="13">
        <v>46183</v>
      </c>
      <c r="C516" s="60">
        <v>10024002</v>
      </c>
      <c r="D516" s="30" t="s">
        <v>1561</v>
      </c>
      <c r="E516" s="30" t="s">
        <v>1515</v>
      </c>
      <c r="F516" s="65" t="s">
        <v>1387</v>
      </c>
      <c r="G516" s="71">
        <v>46201</v>
      </c>
      <c r="H516" s="15" t="s">
        <v>251</v>
      </c>
      <c r="I516" s="63"/>
      <c r="J516" s="15"/>
      <c r="K516" s="29">
        <v>45846</v>
      </c>
      <c r="L516" s="29">
        <v>45861</v>
      </c>
      <c r="M516" s="29" t="s">
        <v>219</v>
      </c>
      <c r="N516" s="29" t="s">
        <v>870</v>
      </c>
      <c r="O516" s="29" t="s">
        <v>293</v>
      </c>
      <c r="P516" s="29" t="s">
        <v>214</v>
      </c>
      <c r="Q516" s="32"/>
      <c r="R516" s="14" t="s">
        <v>1222</v>
      </c>
      <c r="S516" s="37"/>
      <c r="T516" s="38"/>
      <c r="U516" s="30"/>
      <c r="V516" s="39"/>
      <c r="W516" s="40"/>
      <c r="X516" s="39"/>
      <c r="Y516" s="41"/>
      <c r="Z516" s="9"/>
      <c r="AA516" s="9"/>
      <c r="AB516" s="9"/>
      <c r="AC516" s="7">
        <v>12798</v>
      </c>
      <c r="AD516" s="33"/>
      <c r="AE516" s="33"/>
      <c r="AF516" s="33"/>
      <c r="AG516" s="66"/>
      <c r="AH516" s="44"/>
      <c r="AI516" s="45"/>
      <c r="AJ516" s="36"/>
      <c r="AK516" s="36"/>
    </row>
    <row r="517" spans="1:37" x14ac:dyDescent="0.3">
      <c r="A517" s="31"/>
      <c r="B517" s="13">
        <v>46183</v>
      </c>
      <c r="C517" s="60">
        <v>10024469</v>
      </c>
      <c r="D517" s="30" t="s">
        <v>1522</v>
      </c>
      <c r="E517" s="30" t="s">
        <v>1522</v>
      </c>
      <c r="F517" s="65" t="s">
        <v>1394</v>
      </c>
      <c r="G517" s="71">
        <v>46201</v>
      </c>
      <c r="H517" s="15" t="s">
        <v>251</v>
      </c>
      <c r="I517" s="63"/>
      <c r="J517" s="15"/>
      <c r="K517" s="29">
        <v>45900</v>
      </c>
      <c r="L517" s="29">
        <v>46034</v>
      </c>
      <c r="M517" s="29" t="s">
        <v>211</v>
      </c>
      <c r="N517" s="29" t="s">
        <v>119</v>
      </c>
      <c r="O517" s="29" t="s">
        <v>23</v>
      </c>
      <c r="P517" s="29" t="s">
        <v>212</v>
      </c>
      <c r="Q517" s="32"/>
      <c r="R517" s="14" t="s">
        <v>1222</v>
      </c>
      <c r="S517" s="37"/>
      <c r="T517" s="38"/>
      <c r="U517" s="30"/>
      <c r="V517" s="39"/>
      <c r="W517" s="40"/>
      <c r="X517" s="39"/>
      <c r="Y517" s="41"/>
      <c r="Z517" s="9"/>
      <c r="AA517" s="9"/>
      <c r="AB517" s="9"/>
      <c r="AC517" s="7">
        <v>10409</v>
      </c>
      <c r="AD517" s="33"/>
      <c r="AE517" s="33"/>
      <c r="AF517" s="33"/>
      <c r="AG517" s="66"/>
      <c r="AH517" s="44"/>
      <c r="AI517" s="45"/>
      <c r="AJ517" s="36"/>
      <c r="AK517" s="36"/>
    </row>
    <row r="518" spans="1:37" x14ac:dyDescent="0.3">
      <c r="A518" s="31"/>
      <c r="B518" s="13">
        <v>46183</v>
      </c>
      <c r="C518" s="60">
        <v>30017945</v>
      </c>
      <c r="D518" s="30" t="s">
        <v>1529</v>
      </c>
      <c r="E518" s="30" t="s">
        <v>1529</v>
      </c>
      <c r="F518" s="65" t="s">
        <v>1401</v>
      </c>
      <c r="G518" s="71">
        <v>46201</v>
      </c>
      <c r="H518" s="15" t="s">
        <v>251</v>
      </c>
      <c r="I518" s="63"/>
      <c r="J518" s="15"/>
      <c r="K518" s="29">
        <v>45959</v>
      </c>
      <c r="L518" s="29">
        <v>46009</v>
      </c>
      <c r="M518" s="29" t="s">
        <v>235</v>
      </c>
      <c r="N518" s="29" t="s">
        <v>128</v>
      </c>
      <c r="O518" s="29" t="s">
        <v>17</v>
      </c>
      <c r="P518" s="29" t="s">
        <v>221</v>
      </c>
      <c r="Q518" s="32"/>
      <c r="R518" s="14" t="s">
        <v>1222</v>
      </c>
      <c r="S518" s="37"/>
      <c r="T518" s="38"/>
      <c r="U518" s="30"/>
      <c r="V518" s="39"/>
      <c r="W518" s="40"/>
      <c r="X518" s="39"/>
      <c r="Y518" s="41"/>
      <c r="Z518" s="9"/>
      <c r="AA518" s="9"/>
      <c r="AB518" s="9"/>
      <c r="AC518" s="7">
        <v>8622</v>
      </c>
      <c r="AD518" s="33"/>
      <c r="AE518" s="33"/>
      <c r="AF518" s="33"/>
      <c r="AG518" s="66"/>
      <c r="AH518" s="44"/>
      <c r="AI518" s="45"/>
      <c r="AJ518" s="36"/>
      <c r="AK518" s="36"/>
    </row>
    <row r="519" spans="1:37" x14ac:dyDescent="0.3">
      <c r="A519" s="31"/>
      <c r="B519" s="13">
        <v>46183</v>
      </c>
      <c r="C519" s="60">
        <v>10019758</v>
      </c>
      <c r="D519" s="30">
        <v>8801627606899</v>
      </c>
      <c r="E519" s="30">
        <v>8801627606899</v>
      </c>
      <c r="F519" s="65" t="s">
        <v>1407</v>
      </c>
      <c r="G519" s="71">
        <v>46201</v>
      </c>
      <c r="H519" s="15" t="s">
        <v>251</v>
      </c>
      <c r="I519" s="63"/>
      <c r="J519" s="15"/>
      <c r="K519" s="29">
        <v>45210</v>
      </c>
      <c r="L519" s="29">
        <v>45931</v>
      </c>
      <c r="M519" s="29" t="s">
        <v>220</v>
      </c>
      <c r="N519" s="29" t="s">
        <v>169</v>
      </c>
      <c r="O519" s="29" t="s">
        <v>17</v>
      </c>
      <c r="P519" s="29" t="s">
        <v>221</v>
      </c>
      <c r="Q519" s="32"/>
      <c r="R519" s="14" t="s">
        <v>1222</v>
      </c>
      <c r="S519" s="37"/>
      <c r="T519" s="38"/>
      <c r="U519" s="30"/>
      <c r="V519" s="39"/>
      <c r="W519" s="40"/>
      <c r="X519" s="39"/>
      <c r="Y519" s="41"/>
      <c r="Z519" s="9"/>
      <c r="AA519" s="9"/>
      <c r="AB519" s="9"/>
      <c r="AC519" s="7">
        <v>22665</v>
      </c>
      <c r="AD519" s="33"/>
      <c r="AE519" s="33"/>
      <c r="AF519" s="33"/>
      <c r="AG519" s="66"/>
      <c r="AH519" s="44"/>
      <c r="AI519" s="45"/>
      <c r="AJ519" s="36"/>
      <c r="AK519" s="36"/>
    </row>
    <row r="520" spans="1:37" x14ac:dyDescent="0.3">
      <c r="A520" s="31"/>
      <c r="B520" s="13">
        <v>46183</v>
      </c>
      <c r="C520" s="60">
        <v>3203</v>
      </c>
      <c r="D520" s="30" t="s">
        <v>1545</v>
      </c>
      <c r="E520" s="30" t="s">
        <v>1545</v>
      </c>
      <c r="F520" s="65" t="s">
        <v>1418</v>
      </c>
      <c r="G520" s="71">
        <v>46201</v>
      </c>
      <c r="H520" s="15" t="s">
        <v>251</v>
      </c>
      <c r="I520" s="63"/>
      <c r="J520" s="15"/>
      <c r="K520" s="29">
        <v>40398</v>
      </c>
      <c r="L520" s="29">
        <v>46082</v>
      </c>
      <c r="M520" s="29" t="s">
        <v>215</v>
      </c>
      <c r="N520" s="29" t="s">
        <v>129</v>
      </c>
      <c r="O520" s="29" t="s">
        <v>23</v>
      </c>
      <c r="P520" s="29" t="s">
        <v>223</v>
      </c>
      <c r="Q520" s="32"/>
      <c r="R520" s="14" t="s">
        <v>1222</v>
      </c>
      <c r="S520" s="37"/>
      <c r="T520" s="38"/>
      <c r="U520" s="30"/>
      <c r="V520" s="39"/>
      <c r="W520" s="40"/>
      <c r="X520" s="39"/>
      <c r="Y520" s="41"/>
      <c r="Z520" s="9"/>
      <c r="AA520" s="9"/>
      <c r="AB520" s="9"/>
      <c r="AC520" s="7">
        <v>1731134</v>
      </c>
      <c r="AD520" s="33"/>
      <c r="AE520" s="33"/>
      <c r="AF520" s="33"/>
      <c r="AG520" s="66"/>
      <c r="AH520" s="44"/>
      <c r="AI520" s="45"/>
      <c r="AJ520" s="36"/>
      <c r="AK520" s="36"/>
    </row>
    <row r="521" spans="1:37" x14ac:dyDescent="0.3">
      <c r="A521" s="31"/>
      <c r="B521" s="13">
        <v>46194</v>
      </c>
      <c r="C521" s="60">
        <v>10017738</v>
      </c>
      <c r="D521" s="30" t="s">
        <v>1588</v>
      </c>
      <c r="E521" s="30" t="s">
        <v>1589</v>
      </c>
      <c r="F521" s="65" t="s">
        <v>1567</v>
      </c>
      <c r="G521" s="71">
        <v>46201</v>
      </c>
      <c r="H521" s="15" t="s">
        <v>251</v>
      </c>
      <c r="I521" s="63"/>
      <c r="J521" s="15"/>
      <c r="K521" s="29">
        <v>44847</v>
      </c>
      <c r="L521" s="29">
        <v>45993</v>
      </c>
      <c r="M521" s="29" t="s">
        <v>219</v>
      </c>
      <c r="N521" s="29"/>
      <c r="O521" s="29" t="s">
        <v>25</v>
      </c>
      <c r="P521" s="29" t="s">
        <v>214</v>
      </c>
      <c r="Q521" s="32">
        <v>45658</v>
      </c>
      <c r="R521" s="14" t="s">
        <v>1222</v>
      </c>
      <c r="S521" s="37"/>
      <c r="T521" s="38"/>
      <c r="U521" s="30"/>
      <c r="V521" s="39"/>
      <c r="W521" s="40"/>
      <c r="X521" s="39"/>
      <c r="Y521" s="41"/>
      <c r="Z521" s="9"/>
      <c r="AA521" s="9"/>
      <c r="AB521" s="9"/>
      <c r="AC521" s="7">
        <v>110376</v>
      </c>
      <c r="AD521" s="33"/>
      <c r="AE521" s="33"/>
      <c r="AF521" s="33"/>
      <c r="AG521" s="66"/>
      <c r="AH521" s="44"/>
      <c r="AI521" s="45"/>
      <c r="AJ521" s="36"/>
      <c r="AK521" s="36"/>
    </row>
    <row r="522" spans="1:37" x14ac:dyDescent="0.3">
      <c r="A522" s="31">
        <v>137</v>
      </c>
      <c r="B522" s="13">
        <v>46075</v>
      </c>
      <c r="C522" s="30">
        <v>10022557</v>
      </c>
      <c r="D522" s="30" t="s">
        <v>833</v>
      </c>
      <c r="E522" s="30" t="s">
        <v>833</v>
      </c>
      <c r="F522" s="15" t="s">
        <v>764</v>
      </c>
      <c r="G522" s="71">
        <v>46202</v>
      </c>
      <c r="H522" s="15" t="s">
        <v>251</v>
      </c>
      <c r="I522" s="15"/>
      <c r="J522" s="15" t="e">
        <v>#N/A</v>
      </c>
      <c r="K522" s="29">
        <v>45627</v>
      </c>
      <c r="L522" s="29">
        <v>45962</v>
      </c>
      <c r="M522" s="29" t="s">
        <v>220</v>
      </c>
      <c r="N522" s="29" t="s">
        <v>94</v>
      </c>
      <c r="O522" s="29" t="s">
        <v>17</v>
      </c>
      <c r="P522" s="29" t="s">
        <v>221</v>
      </c>
      <c r="Q522" s="32"/>
      <c r="R522" s="14"/>
      <c r="S522" s="37"/>
      <c r="T522" s="38"/>
      <c r="U522" s="30"/>
      <c r="V522" s="39"/>
      <c r="W522" s="40"/>
      <c r="X522" s="39"/>
      <c r="Y522" s="41"/>
      <c r="Z522" s="9"/>
      <c r="AA522" s="9"/>
      <c r="AB522" s="9"/>
      <c r="AC522" s="7">
        <v>4430</v>
      </c>
      <c r="AD522" s="33"/>
      <c r="AE522" s="33"/>
      <c r="AF522" s="33"/>
      <c r="AG522" s="50">
        <v>46320</v>
      </c>
      <c r="AH522" s="44"/>
      <c r="AI522" s="45"/>
      <c r="AJ522" s="36"/>
      <c r="AK522" s="36"/>
    </row>
    <row r="523" spans="1:37" x14ac:dyDescent="0.3">
      <c r="A523" s="43"/>
      <c r="B523" s="13">
        <v>46127</v>
      </c>
      <c r="C523" s="60">
        <v>10021110</v>
      </c>
      <c r="D523" s="30" t="s">
        <v>1185</v>
      </c>
      <c r="E523" s="30" t="s">
        <v>1185</v>
      </c>
      <c r="F523" s="65" t="s">
        <v>1034</v>
      </c>
      <c r="G523" s="71">
        <v>46202</v>
      </c>
      <c r="H523" s="15" t="s">
        <v>251</v>
      </c>
      <c r="I523" s="15"/>
      <c r="J523" s="15" t="e">
        <v>#N/A</v>
      </c>
      <c r="K523" s="29">
        <v>45428</v>
      </c>
      <c r="L523" s="29">
        <v>45993</v>
      </c>
      <c r="M523" s="29" t="s">
        <v>211</v>
      </c>
      <c r="N523" s="29" t="s">
        <v>106</v>
      </c>
      <c r="O523" s="29" t="s">
        <v>23</v>
      </c>
      <c r="P523" s="29" t="s">
        <v>212</v>
      </c>
      <c r="Q523" s="32"/>
      <c r="R523" s="14" t="s">
        <v>1222</v>
      </c>
      <c r="S523" s="37"/>
      <c r="T523" s="38"/>
      <c r="U523" s="30"/>
      <c r="V523" s="39"/>
      <c r="W523" s="40"/>
      <c r="X523" s="39"/>
      <c r="Y523" s="41"/>
      <c r="Z523" s="9"/>
      <c r="AA523" s="9"/>
      <c r="AB523" s="9"/>
      <c r="AC523" s="7">
        <v>37595</v>
      </c>
      <c r="AD523" s="33"/>
      <c r="AE523" s="33"/>
      <c r="AF523" s="33"/>
      <c r="AG523" s="66">
        <v>46310</v>
      </c>
      <c r="AH523" s="44"/>
      <c r="AI523" s="45"/>
      <c r="AJ523" s="36"/>
      <c r="AK523" s="36"/>
    </row>
    <row r="524" spans="1:37" x14ac:dyDescent="0.3">
      <c r="A524" s="31"/>
      <c r="B524" s="13">
        <v>46127</v>
      </c>
      <c r="C524" s="60">
        <v>10018779</v>
      </c>
      <c r="D524" s="61">
        <v>1646770670</v>
      </c>
      <c r="E524" s="61">
        <v>1646770670</v>
      </c>
      <c r="F524" s="65" t="s">
        <v>1031</v>
      </c>
      <c r="G524" s="71">
        <v>46202</v>
      </c>
      <c r="H524" s="15" t="s">
        <v>251</v>
      </c>
      <c r="I524" s="15"/>
      <c r="J524" s="15" t="e">
        <v>#N/A</v>
      </c>
      <c r="K524" s="29">
        <v>45017</v>
      </c>
      <c r="L524" s="29">
        <v>45801</v>
      </c>
      <c r="M524" s="29" t="s">
        <v>226</v>
      </c>
      <c r="N524" s="29" t="s">
        <v>112</v>
      </c>
      <c r="O524" s="29" t="s">
        <v>17</v>
      </c>
      <c r="P524" s="29" t="s">
        <v>221</v>
      </c>
      <c r="Q524" s="32"/>
      <c r="R524" s="14" t="s">
        <v>1222</v>
      </c>
      <c r="S524" s="37"/>
      <c r="T524" s="38"/>
      <c r="U524" s="30"/>
      <c r="V524" s="39"/>
      <c r="W524" s="40"/>
      <c r="X524" s="39"/>
      <c r="Y524" s="41"/>
      <c r="Z524" s="9"/>
      <c r="AA524" s="9"/>
      <c r="AB524" s="9"/>
      <c r="AC524" s="7">
        <v>51734</v>
      </c>
      <c r="AD524" s="33"/>
      <c r="AE524" s="33"/>
      <c r="AF524" s="33"/>
      <c r="AG524" s="66">
        <v>46310</v>
      </c>
      <c r="AH524" s="44"/>
      <c r="AI524" s="45"/>
      <c r="AJ524" s="36"/>
      <c r="AK524" s="36"/>
    </row>
    <row r="525" spans="1:37" x14ac:dyDescent="0.3">
      <c r="A525" s="31"/>
      <c r="B525" s="13">
        <v>46183</v>
      </c>
      <c r="C525" s="60">
        <v>10017762</v>
      </c>
      <c r="D525" s="30" t="s">
        <v>1485</v>
      </c>
      <c r="E525" s="30" t="s">
        <v>1430</v>
      </c>
      <c r="F525" s="65" t="s">
        <v>83</v>
      </c>
      <c r="G525" s="71">
        <v>46202</v>
      </c>
      <c r="H525" s="15" t="s">
        <v>251</v>
      </c>
      <c r="I525" s="63"/>
      <c r="J525" s="15"/>
      <c r="K525" s="29">
        <v>44847</v>
      </c>
      <c r="L525" s="29">
        <v>45323</v>
      </c>
      <c r="M525" s="29" t="s">
        <v>211</v>
      </c>
      <c r="N525" s="29" t="s">
        <v>160</v>
      </c>
      <c r="O525" s="29" t="s">
        <v>23</v>
      </c>
      <c r="P525" s="29" t="s">
        <v>212</v>
      </c>
      <c r="Q525" s="32"/>
      <c r="R525" s="14" t="s">
        <v>1222</v>
      </c>
      <c r="S525" s="37"/>
      <c r="T525" s="38"/>
      <c r="U525" s="30"/>
      <c r="V525" s="39"/>
      <c r="W525" s="40"/>
      <c r="X525" s="39"/>
      <c r="Y525" s="41"/>
      <c r="Z525" s="9"/>
      <c r="AA525" s="9"/>
      <c r="AB525" s="9"/>
      <c r="AC525" s="7">
        <v>39233</v>
      </c>
      <c r="AD525" s="33"/>
      <c r="AE525" s="33"/>
      <c r="AF525" s="33"/>
      <c r="AG525" s="66"/>
      <c r="AH525" s="44"/>
      <c r="AI525" s="45"/>
      <c r="AJ525" s="36"/>
      <c r="AK525" s="36"/>
    </row>
    <row r="526" spans="1:37" x14ac:dyDescent="0.3">
      <c r="A526" s="31"/>
      <c r="B526" s="13">
        <v>46183</v>
      </c>
      <c r="C526" s="60">
        <v>10019389</v>
      </c>
      <c r="D526" s="30" t="s">
        <v>1431</v>
      </c>
      <c r="E526" s="30" t="s">
        <v>1431</v>
      </c>
      <c r="F526" s="65" t="s">
        <v>1354</v>
      </c>
      <c r="G526" s="71">
        <v>46202</v>
      </c>
      <c r="H526" s="15" t="s">
        <v>251</v>
      </c>
      <c r="I526" s="63"/>
      <c r="J526" s="15"/>
      <c r="K526" s="29">
        <v>45141</v>
      </c>
      <c r="L526" s="29">
        <v>45839</v>
      </c>
      <c r="M526" s="29" t="s">
        <v>211</v>
      </c>
      <c r="N526" s="29" t="s">
        <v>182</v>
      </c>
      <c r="O526" s="29" t="s">
        <v>23</v>
      </c>
      <c r="P526" s="29" t="s">
        <v>212</v>
      </c>
      <c r="Q526" s="32"/>
      <c r="R526" s="14" t="s">
        <v>1222</v>
      </c>
      <c r="S526" s="37"/>
      <c r="T526" s="38"/>
      <c r="U526" s="30"/>
      <c r="V526" s="39"/>
      <c r="W526" s="40"/>
      <c r="X526" s="39"/>
      <c r="Y526" s="41"/>
      <c r="Z526" s="9"/>
      <c r="AA526" s="9"/>
      <c r="AB526" s="9"/>
      <c r="AC526" s="7">
        <v>54178</v>
      </c>
      <c r="AD526" s="33"/>
      <c r="AE526" s="33"/>
      <c r="AF526" s="33"/>
      <c r="AG526" s="66"/>
      <c r="AH526" s="44"/>
      <c r="AI526" s="45"/>
      <c r="AJ526" s="36"/>
      <c r="AK526" s="36"/>
    </row>
    <row r="527" spans="1:37" x14ac:dyDescent="0.3">
      <c r="A527" s="31"/>
      <c r="B527" s="13">
        <v>46183</v>
      </c>
      <c r="C527" s="60">
        <v>10018165</v>
      </c>
      <c r="D527" s="30" t="s">
        <v>1432</v>
      </c>
      <c r="E527" s="30" t="s">
        <v>1432</v>
      </c>
      <c r="F527" s="65" t="s">
        <v>43</v>
      </c>
      <c r="G527" s="71">
        <v>46202</v>
      </c>
      <c r="H527" s="15" t="s">
        <v>251</v>
      </c>
      <c r="I527" s="63"/>
      <c r="J527" s="15"/>
      <c r="K527" s="29">
        <v>44940</v>
      </c>
      <c r="L527" s="29">
        <v>45876</v>
      </c>
      <c r="M527" s="29" t="s">
        <v>211</v>
      </c>
      <c r="N527" s="29" t="s">
        <v>67</v>
      </c>
      <c r="O527" s="29" t="s">
        <v>24</v>
      </c>
      <c r="P527" s="29" t="s">
        <v>212</v>
      </c>
      <c r="Q527" s="32"/>
      <c r="R527" s="14" t="s">
        <v>1222</v>
      </c>
      <c r="S527" s="37"/>
      <c r="T527" s="38"/>
      <c r="U527" s="30"/>
      <c r="V527" s="39"/>
      <c r="W527" s="40"/>
      <c r="X527" s="39"/>
      <c r="Y527" s="41"/>
      <c r="Z527" s="9"/>
      <c r="AA527" s="9"/>
      <c r="AB527" s="9"/>
      <c r="AC527" s="7">
        <v>58589</v>
      </c>
      <c r="AD527" s="33"/>
      <c r="AE527" s="33"/>
      <c r="AF527" s="33"/>
      <c r="AG527" s="66"/>
      <c r="AH527" s="44"/>
      <c r="AI527" s="45"/>
      <c r="AJ527" s="36"/>
      <c r="AK527" s="36"/>
    </row>
    <row r="528" spans="1:37" x14ac:dyDescent="0.3">
      <c r="A528" s="31"/>
      <c r="B528" s="13">
        <v>46183</v>
      </c>
      <c r="C528" s="60">
        <v>10024116</v>
      </c>
      <c r="D528" s="30" t="s">
        <v>1520</v>
      </c>
      <c r="E528" s="30" t="s">
        <v>1520</v>
      </c>
      <c r="F528" s="65" t="s">
        <v>1392</v>
      </c>
      <c r="G528" s="71">
        <v>46202</v>
      </c>
      <c r="H528" s="15" t="s">
        <v>251</v>
      </c>
      <c r="I528" s="63"/>
      <c r="J528" s="15"/>
      <c r="K528" s="29">
        <v>45854</v>
      </c>
      <c r="L528" s="29">
        <v>45931</v>
      </c>
      <c r="M528" s="29" t="s">
        <v>219</v>
      </c>
      <c r="N528" s="29" t="s">
        <v>105</v>
      </c>
      <c r="O528" s="29" t="s">
        <v>23</v>
      </c>
      <c r="P528" s="29" t="s">
        <v>214</v>
      </c>
      <c r="Q528" s="32"/>
      <c r="R528" s="14" t="s">
        <v>1222</v>
      </c>
      <c r="S528" s="37"/>
      <c r="T528" s="38"/>
      <c r="U528" s="30"/>
      <c r="V528" s="39"/>
      <c r="W528" s="40"/>
      <c r="X528" s="39"/>
      <c r="Y528" s="41"/>
      <c r="Z528" s="9"/>
      <c r="AA528" s="9"/>
      <c r="AB528" s="9"/>
      <c r="AC528" s="7">
        <v>11172</v>
      </c>
      <c r="AD528" s="33"/>
      <c r="AE528" s="33"/>
      <c r="AF528" s="33"/>
      <c r="AG528" s="66"/>
      <c r="AH528" s="44"/>
      <c r="AI528" s="45"/>
      <c r="AJ528" s="36"/>
      <c r="AK528" s="36"/>
    </row>
    <row r="529" spans="1:37" x14ac:dyDescent="0.3">
      <c r="A529" s="31"/>
      <c r="B529" s="13">
        <v>46183</v>
      </c>
      <c r="C529" s="60">
        <v>12068</v>
      </c>
      <c r="D529" s="30" t="s">
        <v>1562</v>
      </c>
      <c r="E529" s="30"/>
      <c r="F529" s="65" t="s">
        <v>1400</v>
      </c>
      <c r="G529" s="71">
        <v>46202</v>
      </c>
      <c r="H529" s="15" t="s">
        <v>251</v>
      </c>
      <c r="I529" s="63"/>
      <c r="J529" s="15"/>
      <c r="K529" s="29">
        <v>43485</v>
      </c>
      <c r="L529" s="29">
        <v>45992</v>
      </c>
      <c r="M529" s="29" t="s">
        <v>219</v>
      </c>
      <c r="N529" s="29" t="s">
        <v>118</v>
      </c>
      <c r="O529" s="29" t="s">
        <v>23</v>
      </c>
      <c r="P529" s="29" t="s">
        <v>214</v>
      </c>
      <c r="Q529" s="32">
        <v>44562</v>
      </c>
      <c r="R529" s="14" t="s">
        <v>1222</v>
      </c>
      <c r="S529" s="37"/>
      <c r="T529" s="38"/>
      <c r="U529" s="30"/>
      <c r="V529" s="39"/>
      <c r="W529" s="40"/>
      <c r="X529" s="39"/>
      <c r="Y529" s="41"/>
      <c r="Z529" s="9"/>
      <c r="AA529" s="9"/>
      <c r="AB529" s="9"/>
      <c r="AC529" s="7">
        <v>391206</v>
      </c>
      <c r="AD529" s="33"/>
      <c r="AE529" s="33"/>
      <c r="AF529" s="33"/>
      <c r="AG529" s="66"/>
      <c r="AH529" s="44"/>
      <c r="AI529" s="45"/>
      <c r="AJ529" s="36"/>
      <c r="AK529" s="36"/>
    </row>
    <row r="530" spans="1:37" x14ac:dyDescent="0.3">
      <c r="A530" s="31"/>
      <c r="B530" s="13">
        <v>46183</v>
      </c>
      <c r="C530" s="60">
        <v>10023583</v>
      </c>
      <c r="D530" s="30" t="s">
        <v>1533</v>
      </c>
      <c r="E530" s="30" t="s">
        <v>1533</v>
      </c>
      <c r="F530" s="65" t="s">
        <v>9</v>
      </c>
      <c r="G530" s="71">
        <v>46202</v>
      </c>
      <c r="H530" s="15" t="s">
        <v>251</v>
      </c>
      <c r="I530" s="63"/>
      <c r="J530" s="15"/>
      <c r="K530" s="29">
        <v>45777</v>
      </c>
      <c r="L530" s="29">
        <v>45870</v>
      </c>
      <c r="M530" s="29" t="s">
        <v>211</v>
      </c>
      <c r="N530" s="29" t="s">
        <v>1207</v>
      </c>
      <c r="O530" s="29" t="s">
        <v>25</v>
      </c>
      <c r="P530" s="29" t="s">
        <v>212</v>
      </c>
      <c r="Q530" s="32"/>
      <c r="R530" s="14" t="s">
        <v>1222</v>
      </c>
      <c r="S530" s="37"/>
      <c r="T530" s="38"/>
      <c r="U530" s="30"/>
      <c r="V530" s="39"/>
      <c r="W530" s="40"/>
      <c r="X530" s="39"/>
      <c r="Y530" s="41"/>
      <c r="Z530" s="9"/>
      <c r="AA530" s="9"/>
      <c r="AB530" s="9"/>
      <c r="AC530" s="7">
        <v>6504</v>
      </c>
      <c r="AD530" s="33"/>
      <c r="AE530" s="33"/>
      <c r="AF530" s="33"/>
      <c r="AG530" s="66"/>
      <c r="AH530" s="44"/>
      <c r="AI530" s="45"/>
      <c r="AJ530" s="36"/>
      <c r="AK530" s="36"/>
    </row>
    <row r="531" spans="1:37" x14ac:dyDescent="0.3">
      <c r="A531" s="31"/>
      <c r="B531" s="13">
        <v>46183</v>
      </c>
      <c r="C531" s="60">
        <v>10023733</v>
      </c>
      <c r="D531" s="30" t="s">
        <v>1547</v>
      </c>
      <c r="E531" s="30" t="s">
        <v>1547</v>
      </c>
      <c r="F531" s="65" t="s">
        <v>1420</v>
      </c>
      <c r="G531" s="71">
        <v>46202</v>
      </c>
      <c r="H531" s="15" t="s">
        <v>251</v>
      </c>
      <c r="I531" s="63"/>
      <c r="J531" s="15"/>
      <c r="K531" s="29">
        <v>45778</v>
      </c>
      <c r="L531" s="29">
        <v>45899</v>
      </c>
      <c r="M531" s="29" t="s">
        <v>1266</v>
      </c>
      <c r="N531" s="29" t="s">
        <v>94</v>
      </c>
      <c r="O531" s="29" t="s">
        <v>17</v>
      </c>
      <c r="P531" s="29" t="s">
        <v>227</v>
      </c>
      <c r="Q531" s="32"/>
      <c r="R531" s="14" t="s">
        <v>1222</v>
      </c>
      <c r="S531" s="37"/>
      <c r="T531" s="38"/>
      <c r="U531" s="30"/>
      <c r="V531" s="39"/>
      <c r="W531" s="40"/>
      <c r="X531" s="39"/>
      <c r="Y531" s="41"/>
      <c r="Z531" s="9"/>
      <c r="AA531" s="9"/>
      <c r="AB531" s="9"/>
      <c r="AC531" s="7">
        <v>3648</v>
      </c>
      <c r="AD531" s="33"/>
      <c r="AE531" s="33"/>
      <c r="AF531" s="33"/>
      <c r="AG531" s="66"/>
      <c r="AH531" s="44"/>
      <c r="AI531" s="45"/>
      <c r="AJ531" s="36"/>
      <c r="AK531" s="36"/>
    </row>
    <row r="532" spans="1:37" x14ac:dyDescent="0.3">
      <c r="A532" s="31"/>
      <c r="B532" s="13">
        <v>46194</v>
      </c>
      <c r="C532" s="60">
        <v>821</v>
      </c>
      <c r="D532" s="30" t="s">
        <v>1581</v>
      </c>
      <c r="E532" s="30"/>
      <c r="F532" s="65" t="s">
        <v>1564</v>
      </c>
      <c r="G532" s="71">
        <v>46202</v>
      </c>
      <c r="H532" s="15" t="s">
        <v>251</v>
      </c>
      <c r="I532" s="63"/>
      <c r="J532" s="15"/>
      <c r="K532" s="29">
        <v>39193</v>
      </c>
      <c r="L532" s="29">
        <v>46147</v>
      </c>
      <c r="M532" s="29" t="s">
        <v>262</v>
      </c>
      <c r="N532" s="29"/>
      <c r="O532" s="29" t="s">
        <v>263</v>
      </c>
      <c r="P532" s="29" t="s">
        <v>230</v>
      </c>
      <c r="Q532" s="32">
        <v>45627</v>
      </c>
      <c r="R532" s="14" t="s">
        <v>1222</v>
      </c>
      <c r="S532" s="37"/>
      <c r="T532" s="38"/>
      <c r="U532" s="30"/>
      <c r="V532" s="39"/>
      <c r="W532" s="40"/>
      <c r="X532" s="39"/>
      <c r="Y532" s="41"/>
      <c r="Z532" s="9"/>
      <c r="AA532" s="9"/>
      <c r="AB532" s="9"/>
      <c r="AC532" s="7">
        <v>3589198</v>
      </c>
      <c r="AD532" s="33"/>
      <c r="AE532" s="33"/>
      <c r="AF532" s="33"/>
      <c r="AG532" s="66"/>
      <c r="AH532" s="44"/>
      <c r="AI532" s="45"/>
      <c r="AJ532" s="36"/>
      <c r="AK532" s="36"/>
    </row>
    <row r="533" spans="1:37" x14ac:dyDescent="0.3">
      <c r="A533" s="31"/>
      <c r="B533" s="13">
        <v>46160</v>
      </c>
      <c r="C533" s="60">
        <v>13324</v>
      </c>
      <c r="D533" s="30" t="s">
        <v>72</v>
      </c>
      <c r="E533" s="30" t="s">
        <v>72</v>
      </c>
      <c r="F533" s="65" t="s">
        <v>666</v>
      </c>
      <c r="G533" s="71">
        <v>46203</v>
      </c>
      <c r="H533" s="15" t="s">
        <v>251</v>
      </c>
      <c r="I533" s="63"/>
      <c r="J533" s="15"/>
      <c r="K533" s="29">
        <v>43795</v>
      </c>
      <c r="L533" s="29">
        <v>44620</v>
      </c>
      <c r="M533" s="29" t="s">
        <v>213</v>
      </c>
      <c r="N533" s="29" t="s">
        <v>135</v>
      </c>
      <c r="O533" s="29" t="s">
        <v>16</v>
      </c>
      <c r="P533" s="29" t="s">
        <v>214</v>
      </c>
      <c r="Q533" s="32">
        <v>44562</v>
      </c>
      <c r="R533" s="14" t="s">
        <v>1222</v>
      </c>
      <c r="S533" s="37"/>
      <c r="T533" s="38"/>
      <c r="U533" s="30"/>
      <c r="V533" s="39"/>
      <c r="W533" s="40"/>
      <c r="X533" s="39"/>
      <c r="Y533" s="41"/>
      <c r="Z533" s="9"/>
      <c r="AA533" s="9"/>
      <c r="AB533" s="9"/>
      <c r="AC533" s="7">
        <v>19050</v>
      </c>
      <c r="AD533" s="33"/>
      <c r="AE533" s="33"/>
      <c r="AF533" s="33"/>
      <c r="AG533" s="66"/>
      <c r="AH533" s="44"/>
      <c r="AI533" s="45"/>
      <c r="AJ533" s="36"/>
      <c r="AK533" s="36"/>
    </row>
    <row r="534" spans="1:37" x14ac:dyDescent="0.3">
      <c r="A534" s="31"/>
      <c r="B534" s="13">
        <v>46183</v>
      </c>
      <c r="C534" s="60">
        <v>10020480</v>
      </c>
      <c r="D534" s="30" t="s">
        <v>1475</v>
      </c>
      <c r="E534" s="30" t="s">
        <v>1475</v>
      </c>
      <c r="F534" s="65" t="s">
        <v>1346</v>
      </c>
      <c r="G534" s="71">
        <v>46203</v>
      </c>
      <c r="H534" s="15" t="s">
        <v>251</v>
      </c>
      <c r="I534" s="63"/>
      <c r="J534" s="15"/>
      <c r="K534" s="29">
        <v>45335</v>
      </c>
      <c r="L534" s="29">
        <v>45943</v>
      </c>
      <c r="M534" s="29" t="s">
        <v>219</v>
      </c>
      <c r="N534" s="29" t="s">
        <v>178</v>
      </c>
      <c r="O534" s="29" t="s">
        <v>23</v>
      </c>
      <c r="P534" s="29" t="s">
        <v>214</v>
      </c>
      <c r="Q534" s="32">
        <v>45658</v>
      </c>
      <c r="R534" s="14" t="s">
        <v>1222</v>
      </c>
      <c r="S534" s="37"/>
      <c r="T534" s="38"/>
      <c r="U534" s="30"/>
      <c r="V534" s="39"/>
      <c r="W534" s="40"/>
      <c r="X534" s="39"/>
      <c r="Y534" s="41"/>
      <c r="Z534" s="9"/>
      <c r="AA534" s="9"/>
      <c r="AB534" s="9"/>
      <c r="AC534" s="7">
        <v>67640</v>
      </c>
      <c r="AD534" s="33"/>
      <c r="AE534" s="33"/>
      <c r="AF534" s="33"/>
      <c r="AG534" s="66"/>
      <c r="AH534" s="44"/>
      <c r="AI534" s="45"/>
      <c r="AJ534" s="36"/>
      <c r="AK534" s="36"/>
    </row>
    <row r="535" spans="1:37" x14ac:dyDescent="0.3">
      <c r="A535" s="31"/>
      <c r="B535" s="13">
        <v>46183</v>
      </c>
      <c r="C535" s="60">
        <v>10023496</v>
      </c>
      <c r="D535" s="30" t="s">
        <v>1498</v>
      </c>
      <c r="E535" s="30" t="s">
        <v>1498</v>
      </c>
      <c r="F535" s="65" t="s">
        <v>50</v>
      </c>
      <c r="G535" s="71">
        <v>46203</v>
      </c>
      <c r="H535" s="15" t="s">
        <v>251</v>
      </c>
      <c r="I535" s="63"/>
      <c r="J535" s="15"/>
      <c r="K535" s="29">
        <v>45770</v>
      </c>
      <c r="L535" s="29">
        <v>46116</v>
      </c>
      <c r="M535" s="29" t="s">
        <v>224</v>
      </c>
      <c r="N535" s="29" t="s">
        <v>121</v>
      </c>
      <c r="O535" s="29" t="s">
        <v>28</v>
      </c>
      <c r="P535" s="29" t="s">
        <v>217</v>
      </c>
      <c r="Q535" s="32"/>
      <c r="R535" s="14" t="s">
        <v>1222</v>
      </c>
      <c r="S535" s="37"/>
      <c r="T535" s="38"/>
      <c r="U535" s="30"/>
      <c r="V535" s="39"/>
      <c r="W535" s="40"/>
      <c r="X535" s="39"/>
      <c r="Y535" s="41"/>
      <c r="Z535" s="9"/>
      <c r="AA535" s="9"/>
      <c r="AB535" s="9"/>
      <c r="AC535" s="7">
        <v>28480</v>
      </c>
      <c r="AD535" s="33"/>
      <c r="AE535" s="33"/>
      <c r="AF535" s="33"/>
      <c r="AG535" s="66"/>
      <c r="AH535" s="44"/>
      <c r="AI535" s="45"/>
      <c r="AJ535" s="36"/>
      <c r="AK535" s="36"/>
    </row>
    <row r="536" spans="1:37" x14ac:dyDescent="0.3">
      <c r="A536" s="31"/>
      <c r="B536" s="13">
        <v>46183</v>
      </c>
      <c r="C536" s="60">
        <v>10024108</v>
      </c>
      <c r="D536" s="30" t="s">
        <v>1503</v>
      </c>
      <c r="E536" s="30" t="s">
        <v>1503</v>
      </c>
      <c r="F536" s="65" t="s">
        <v>10</v>
      </c>
      <c r="G536" s="71">
        <v>46203</v>
      </c>
      <c r="H536" s="15" t="s">
        <v>251</v>
      </c>
      <c r="I536" s="63"/>
      <c r="J536" s="15"/>
      <c r="K536" s="29">
        <v>45837</v>
      </c>
      <c r="L536" s="29">
        <v>46040</v>
      </c>
      <c r="M536" s="29" t="s">
        <v>211</v>
      </c>
      <c r="N536" s="29" t="s">
        <v>93</v>
      </c>
      <c r="O536" s="29" t="s">
        <v>22</v>
      </c>
      <c r="P536" s="29" t="s">
        <v>212</v>
      </c>
      <c r="Q536" s="32"/>
      <c r="R536" s="14" t="s">
        <v>1222</v>
      </c>
      <c r="S536" s="37"/>
      <c r="T536" s="38"/>
      <c r="U536" s="30"/>
      <c r="V536" s="39"/>
      <c r="W536" s="40"/>
      <c r="X536" s="39"/>
      <c r="Y536" s="41"/>
      <c r="Z536" s="9"/>
      <c r="AA536" s="9"/>
      <c r="AB536" s="9"/>
      <c r="AC536" s="7">
        <v>19982</v>
      </c>
      <c r="AD536" s="33"/>
      <c r="AE536" s="33"/>
      <c r="AF536" s="33"/>
      <c r="AG536" s="66"/>
      <c r="AH536" s="44"/>
      <c r="AI536" s="45"/>
      <c r="AJ536" s="36"/>
      <c r="AK536" s="36"/>
    </row>
    <row r="537" spans="1:37" x14ac:dyDescent="0.3">
      <c r="A537" s="31"/>
      <c r="B537" s="13">
        <v>46183</v>
      </c>
      <c r="C537" s="60">
        <v>10022696</v>
      </c>
      <c r="D537" s="30" t="s">
        <v>1517</v>
      </c>
      <c r="E537" s="30" t="s">
        <v>1517</v>
      </c>
      <c r="F537" s="65" t="s">
        <v>1389</v>
      </c>
      <c r="G537" s="71">
        <v>46203</v>
      </c>
      <c r="H537" s="15" t="s">
        <v>251</v>
      </c>
      <c r="I537" s="63"/>
      <c r="J537" s="15"/>
      <c r="K537" s="29">
        <v>45651</v>
      </c>
      <c r="L537" s="29">
        <v>45936</v>
      </c>
      <c r="M537" s="29" t="s">
        <v>211</v>
      </c>
      <c r="N537" s="29" t="s">
        <v>1210</v>
      </c>
      <c r="O537" s="29" t="s">
        <v>25</v>
      </c>
      <c r="P537" s="29" t="s">
        <v>212</v>
      </c>
      <c r="Q537" s="32"/>
      <c r="R537" s="14" t="s">
        <v>1222</v>
      </c>
      <c r="S537" s="37"/>
      <c r="T537" s="38"/>
      <c r="U537" s="30"/>
      <c r="V537" s="39"/>
      <c r="W537" s="40"/>
      <c r="X537" s="39"/>
      <c r="Y537" s="41"/>
      <c r="Z537" s="9"/>
      <c r="AA537" s="9"/>
      <c r="AB537" s="9"/>
      <c r="AC537" s="7">
        <v>11673</v>
      </c>
      <c r="AD537" s="33"/>
      <c r="AE537" s="33"/>
      <c r="AF537" s="33"/>
      <c r="AG537" s="66"/>
      <c r="AH537" s="44"/>
      <c r="AI537" s="45"/>
      <c r="AJ537" s="36"/>
      <c r="AK537" s="36"/>
    </row>
    <row r="538" spans="1:37" x14ac:dyDescent="0.3">
      <c r="A538" s="31"/>
      <c r="B538" s="13">
        <v>46194</v>
      </c>
      <c r="C538" s="60">
        <v>9592</v>
      </c>
      <c r="D538" s="30" t="s">
        <v>1580</v>
      </c>
      <c r="E538" s="30" t="s">
        <v>1580</v>
      </c>
      <c r="F538" s="65" t="s">
        <v>1577</v>
      </c>
      <c r="G538" s="71">
        <v>46203</v>
      </c>
      <c r="H538" s="15" t="s">
        <v>251</v>
      </c>
      <c r="I538" s="63"/>
      <c r="J538" s="15"/>
      <c r="K538" s="29">
        <v>42851</v>
      </c>
      <c r="L538" s="29">
        <v>46033</v>
      </c>
      <c r="M538" s="29" t="s">
        <v>280</v>
      </c>
      <c r="N538" s="29"/>
      <c r="O538" s="29" t="s">
        <v>25</v>
      </c>
      <c r="P538" s="29" t="s">
        <v>281</v>
      </c>
      <c r="Q538" s="32">
        <v>45658</v>
      </c>
      <c r="R538" s="14" t="s">
        <v>1222</v>
      </c>
      <c r="S538" s="37"/>
      <c r="T538" s="38"/>
      <c r="U538" s="30"/>
      <c r="V538" s="39"/>
      <c r="W538" s="40"/>
      <c r="X538" s="39"/>
      <c r="Y538" s="41"/>
      <c r="Z538" s="9"/>
      <c r="AA538" s="9"/>
      <c r="AB538" s="9"/>
      <c r="AC538" s="7">
        <v>545292</v>
      </c>
      <c r="AD538" s="33"/>
      <c r="AE538" s="33"/>
      <c r="AF538" s="33"/>
      <c r="AG538" s="66"/>
      <c r="AH538" s="44"/>
      <c r="AI538" s="45"/>
      <c r="AJ538" s="36"/>
      <c r="AK538" s="36"/>
    </row>
    <row r="539" spans="1:37" x14ac:dyDescent="0.3">
      <c r="A539" s="31"/>
      <c r="B539" s="13">
        <v>46127</v>
      </c>
      <c r="C539" s="60">
        <v>10021809</v>
      </c>
      <c r="D539" s="30" t="s">
        <v>1172</v>
      </c>
      <c r="E539" s="30" t="s">
        <v>1172</v>
      </c>
      <c r="F539" s="65" t="s">
        <v>1026</v>
      </c>
      <c r="G539" s="71">
        <v>46204</v>
      </c>
      <c r="H539" s="15" t="s">
        <v>251</v>
      </c>
      <c r="I539" s="63" t="s">
        <v>916</v>
      </c>
      <c r="J539" s="15" t="s">
        <v>1307</v>
      </c>
      <c r="K539" s="29">
        <v>45521</v>
      </c>
      <c r="L539" s="29">
        <v>45962</v>
      </c>
      <c r="M539" s="29" t="s">
        <v>220</v>
      </c>
      <c r="N539" s="29" t="s">
        <v>673</v>
      </c>
      <c r="O539" s="29" t="s">
        <v>17</v>
      </c>
      <c r="P539" s="29" t="s">
        <v>221</v>
      </c>
      <c r="Q539" s="32"/>
      <c r="R539" s="14" t="s">
        <v>1222</v>
      </c>
      <c r="S539" s="37"/>
      <c r="T539" s="38"/>
      <c r="U539" s="30"/>
      <c r="V539" s="39"/>
      <c r="W539" s="40"/>
      <c r="X539" s="39"/>
      <c r="Y539" s="41"/>
      <c r="Z539" s="9"/>
      <c r="AA539" s="9"/>
      <c r="AB539" s="9"/>
      <c r="AC539" s="7">
        <v>25075</v>
      </c>
      <c r="AD539" s="33"/>
      <c r="AE539" s="33"/>
      <c r="AF539" s="33"/>
      <c r="AG539" s="66">
        <v>46310</v>
      </c>
      <c r="AH539" s="44"/>
      <c r="AI539" s="45"/>
      <c r="AJ539" s="36"/>
      <c r="AK539" s="36"/>
    </row>
    <row r="540" spans="1:37" x14ac:dyDescent="0.3">
      <c r="A540" s="31"/>
      <c r="B540" s="13">
        <v>46127</v>
      </c>
      <c r="C540" s="60">
        <v>10019435</v>
      </c>
      <c r="D540" s="30" t="s">
        <v>1174</v>
      </c>
      <c r="E540" s="30" t="s">
        <v>1174</v>
      </c>
      <c r="F540" s="65" t="s">
        <v>79</v>
      </c>
      <c r="G540" s="71">
        <v>46204</v>
      </c>
      <c r="H540" s="15" t="s">
        <v>251</v>
      </c>
      <c r="I540" s="63" t="s">
        <v>916</v>
      </c>
      <c r="J540" s="15" t="s">
        <v>1311</v>
      </c>
      <c r="K540" s="29">
        <v>45150</v>
      </c>
      <c r="L540" s="29">
        <v>45483</v>
      </c>
      <c r="M540" s="29" t="s">
        <v>220</v>
      </c>
      <c r="N540" s="29" t="s">
        <v>150</v>
      </c>
      <c r="O540" s="29" t="s">
        <v>17</v>
      </c>
      <c r="P540" s="29" t="s">
        <v>221</v>
      </c>
      <c r="Q540" s="32"/>
      <c r="R540" s="14" t="s">
        <v>1222</v>
      </c>
      <c r="S540" s="37"/>
      <c r="T540" s="38"/>
      <c r="U540" s="30"/>
      <c r="V540" s="39"/>
      <c r="W540" s="40"/>
      <c r="X540" s="39"/>
      <c r="Y540" s="41"/>
      <c r="Z540" s="9"/>
      <c r="AA540" s="9"/>
      <c r="AB540" s="9"/>
      <c r="AC540" s="7">
        <v>12251</v>
      </c>
      <c r="AD540" s="33"/>
      <c r="AE540" s="33"/>
      <c r="AF540" s="33"/>
      <c r="AG540" s="66">
        <v>46310</v>
      </c>
      <c r="AH540" s="44"/>
      <c r="AI540" s="45"/>
      <c r="AJ540" s="36"/>
      <c r="AK540" s="36"/>
    </row>
    <row r="541" spans="1:37" x14ac:dyDescent="0.3">
      <c r="A541" s="31"/>
      <c r="B541" s="13">
        <v>46183</v>
      </c>
      <c r="C541" s="60">
        <v>9973</v>
      </c>
      <c r="D541" s="30" t="s">
        <v>1467</v>
      </c>
      <c r="E541" s="30" t="s">
        <v>1468</v>
      </c>
      <c r="F541" s="65" t="s">
        <v>1342</v>
      </c>
      <c r="G541" s="71">
        <v>46204</v>
      </c>
      <c r="H541" s="15" t="s">
        <v>251</v>
      </c>
      <c r="I541" s="63"/>
      <c r="J541" s="15"/>
      <c r="K541" s="29">
        <v>42988</v>
      </c>
      <c r="L541" s="29">
        <v>45901</v>
      </c>
      <c r="M541" s="29" t="s">
        <v>219</v>
      </c>
      <c r="N541" s="29" t="s">
        <v>115</v>
      </c>
      <c r="O541" s="29" t="s">
        <v>23</v>
      </c>
      <c r="P541" s="29" t="s">
        <v>214</v>
      </c>
      <c r="Q541" s="32"/>
      <c r="R541" s="14" t="s">
        <v>1222</v>
      </c>
      <c r="S541" s="37"/>
      <c r="T541" s="38"/>
      <c r="U541" s="30"/>
      <c r="V541" s="39"/>
      <c r="W541" s="40"/>
      <c r="X541" s="39"/>
      <c r="Y541" s="41"/>
      <c r="Z541" s="9"/>
      <c r="AA541" s="9"/>
      <c r="AB541" s="9"/>
      <c r="AC541" s="7">
        <v>500886</v>
      </c>
      <c r="AD541" s="33"/>
      <c r="AE541" s="33"/>
      <c r="AF541" s="33"/>
      <c r="AG541" s="66"/>
      <c r="AH541" s="44"/>
      <c r="AI541" s="45"/>
      <c r="AJ541" s="36"/>
      <c r="AK541" s="36"/>
    </row>
    <row r="542" spans="1:37" x14ac:dyDescent="0.3">
      <c r="A542" s="31"/>
      <c r="B542" s="13">
        <v>46183</v>
      </c>
      <c r="C542" s="60">
        <v>15968</v>
      </c>
      <c r="D542" s="30" t="s">
        <v>1558</v>
      </c>
      <c r="E542" s="30"/>
      <c r="F542" s="65" t="s">
        <v>1377</v>
      </c>
      <c r="G542" s="71">
        <v>46204</v>
      </c>
      <c r="H542" s="15" t="s">
        <v>251</v>
      </c>
      <c r="I542" s="63"/>
      <c r="J542" s="15"/>
      <c r="K542" s="29">
        <v>44467</v>
      </c>
      <c r="L542" s="29">
        <v>45901</v>
      </c>
      <c r="M542" s="29" t="s">
        <v>219</v>
      </c>
      <c r="N542" s="29" t="s">
        <v>115</v>
      </c>
      <c r="O542" s="29" t="s">
        <v>23</v>
      </c>
      <c r="P542" s="29" t="s">
        <v>214</v>
      </c>
      <c r="Q542" s="32">
        <v>45292</v>
      </c>
      <c r="R542" s="14" t="s">
        <v>1222</v>
      </c>
      <c r="S542" s="37"/>
      <c r="T542" s="38"/>
      <c r="U542" s="30"/>
      <c r="V542" s="39"/>
      <c r="W542" s="40"/>
      <c r="X542" s="39"/>
      <c r="Y542" s="41"/>
      <c r="Z542" s="9"/>
      <c r="AA542" s="9"/>
      <c r="AB542" s="9"/>
      <c r="AC542" s="7">
        <v>117692</v>
      </c>
      <c r="AD542" s="33"/>
      <c r="AE542" s="33"/>
      <c r="AF542" s="33"/>
      <c r="AG542" s="66"/>
      <c r="AH542" s="44"/>
      <c r="AI542" s="45"/>
      <c r="AJ542" s="36"/>
      <c r="AK542" s="36"/>
    </row>
    <row r="543" spans="1:37" x14ac:dyDescent="0.3">
      <c r="A543" s="31"/>
      <c r="B543" s="13">
        <v>46183</v>
      </c>
      <c r="C543" s="60">
        <v>10023577</v>
      </c>
      <c r="D543" s="30" t="s">
        <v>1519</v>
      </c>
      <c r="E543" s="30" t="s">
        <v>1519</v>
      </c>
      <c r="F543" s="65" t="s">
        <v>1391</v>
      </c>
      <c r="G543" s="71">
        <v>46204</v>
      </c>
      <c r="H543" s="15" t="s">
        <v>251</v>
      </c>
      <c r="I543" s="63"/>
      <c r="J543" s="15"/>
      <c r="K543" s="29">
        <v>45771</v>
      </c>
      <c r="L543" s="29">
        <v>46054</v>
      </c>
      <c r="M543" s="29" t="s">
        <v>211</v>
      </c>
      <c r="N543" s="29" t="s">
        <v>286</v>
      </c>
      <c r="O543" s="29" t="s">
        <v>24</v>
      </c>
      <c r="P543" s="29" t="s">
        <v>212</v>
      </c>
      <c r="Q543" s="32"/>
      <c r="R543" s="14" t="s">
        <v>1222</v>
      </c>
      <c r="S543" s="37"/>
      <c r="T543" s="38"/>
      <c r="U543" s="30"/>
      <c r="V543" s="39"/>
      <c r="W543" s="40"/>
      <c r="X543" s="39"/>
      <c r="Y543" s="41"/>
      <c r="Z543" s="9"/>
      <c r="AA543" s="9"/>
      <c r="AB543" s="9"/>
      <c r="AC543" s="7">
        <v>13164</v>
      </c>
      <c r="AD543" s="33"/>
      <c r="AE543" s="33"/>
      <c r="AF543" s="33"/>
      <c r="AG543" s="66"/>
      <c r="AH543" s="44"/>
      <c r="AI543" s="45"/>
      <c r="AJ543" s="36"/>
      <c r="AK543" s="36"/>
    </row>
    <row r="544" spans="1:37" x14ac:dyDescent="0.3">
      <c r="A544" s="31"/>
      <c r="B544" s="13">
        <v>46183</v>
      </c>
      <c r="C544" s="60">
        <v>12272</v>
      </c>
      <c r="D544" s="30" t="s">
        <v>1549</v>
      </c>
      <c r="E544" s="30" t="s">
        <v>1544</v>
      </c>
      <c r="F544" s="65" t="s">
        <v>1417</v>
      </c>
      <c r="G544" s="71">
        <v>46204</v>
      </c>
      <c r="H544" s="15" t="s">
        <v>251</v>
      </c>
      <c r="I544" s="63"/>
      <c r="J544" s="15"/>
      <c r="K544" s="29">
        <v>43516</v>
      </c>
      <c r="L544" s="29">
        <v>46023</v>
      </c>
      <c r="M544" s="29" t="s">
        <v>219</v>
      </c>
      <c r="N544" s="29" t="s">
        <v>95</v>
      </c>
      <c r="O544" s="29" t="s">
        <v>23</v>
      </c>
      <c r="P544" s="29" t="s">
        <v>214</v>
      </c>
      <c r="Q544" s="32">
        <v>44562</v>
      </c>
      <c r="R544" s="14" t="s">
        <v>1222</v>
      </c>
      <c r="S544" s="37"/>
      <c r="T544" s="38"/>
      <c r="U544" s="30"/>
      <c r="V544" s="39"/>
      <c r="W544" s="40"/>
      <c r="X544" s="39"/>
      <c r="Y544" s="41"/>
      <c r="Z544" s="9"/>
      <c r="AA544" s="9"/>
      <c r="AB544" s="9"/>
      <c r="AC544" s="7">
        <v>226920</v>
      </c>
      <c r="AD544" s="33"/>
      <c r="AE544" s="33"/>
      <c r="AF544" s="33"/>
      <c r="AG544" s="66"/>
      <c r="AH544" s="44"/>
      <c r="AI544" s="45"/>
      <c r="AJ544" s="36"/>
      <c r="AK544" s="36"/>
    </row>
    <row r="545" spans="1:37" x14ac:dyDescent="0.3">
      <c r="A545" s="31"/>
      <c r="B545" s="13">
        <v>46194</v>
      </c>
      <c r="C545" s="60">
        <v>10017751</v>
      </c>
      <c r="D545" s="30" t="s">
        <v>1586</v>
      </c>
      <c r="E545" s="30" t="s">
        <v>1587</v>
      </c>
      <c r="F545" s="65" t="s">
        <v>1566</v>
      </c>
      <c r="G545" s="71">
        <v>46204</v>
      </c>
      <c r="H545" s="15" t="s">
        <v>251</v>
      </c>
      <c r="I545" s="63"/>
      <c r="J545" s="15"/>
      <c r="K545" s="29">
        <v>44849</v>
      </c>
      <c r="L545" s="29">
        <v>45992</v>
      </c>
      <c r="M545" s="29" t="s">
        <v>219</v>
      </c>
      <c r="N545" s="29"/>
      <c r="O545" s="29" t="s">
        <v>24</v>
      </c>
      <c r="P545" s="29" t="s">
        <v>214</v>
      </c>
      <c r="Q545" s="32">
        <v>45658</v>
      </c>
      <c r="R545" s="14" t="s">
        <v>1222</v>
      </c>
      <c r="S545" s="37"/>
      <c r="T545" s="38"/>
      <c r="U545" s="30"/>
      <c r="V545" s="39"/>
      <c r="W545" s="40"/>
      <c r="X545" s="39"/>
      <c r="Y545" s="41"/>
      <c r="Z545" s="9"/>
      <c r="AA545" s="9"/>
      <c r="AB545" s="9"/>
      <c r="AC545" s="7">
        <v>118779.5</v>
      </c>
      <c r="AD545" s="33"/>
      <c r="AE545" s="33"/>
      <c r="AF545" s="33"/>
      <c r="AG545" s="66"/>
      <c r="AH545" s="44"/>
      <c r="AI545" s="45"/>
      <c r="AJ545" s="36"/>
      <c r="AK545" s="36"/>
    </row>
    <row r="546" spans="1:37" x14ac:dyDescent="0.3">
      <c r="A546" s="31"/>
      <c r="B546" s="13">
        <v>46183</v>
      </c>
      <c r="C546" s="60">
        <v>10021222</v>
      </c>
      <c r="D546" s="30" t="s">
        <v>1556</v>
      </c>
      <c r="E546" s="30" t="s">
        <v>1494</v>
      </c>
      <c r="F546" s="65" t="s">
        <v>1362</v>
      </c>
      <c r="G546" s="71">
        <v>46205</v>
      </c>
      <c r="H546" s="15" t="s">
        <v>251</v>
      </c>
      <c r="I546" s="63"/>
      <c r="J546" s="15"/>
      <c r="K546" s="29">
        <v>45446</v>
      </c>
      <c r="L546" s="29">
        <v>45930</v>
      </c>
      <c r="M546" s="29" t="s">
        <v>211</v>
      </c>
      <c r="N546" s="29" t="s">
        <v>139</v>
      </c>
      <c r="O546" s="29" t="s">
        <v>23</v>
      </c>
      <c r="P546" s="29" t="s">
        <v>212</v>
      </c>
      <c r="Q546" s="32"/>
      <c r="R546" s="14" t="s">
        <v>1222</v>
      </c>
      <c r="S546" s="37"/>
      <c r="T546" s="38"/>
      <c r="U546" s="30"/>
      <c r="V546" s="39"/>
      <c r="W546" s="40"/>
      <c r="X546" s="39"/>
      <c r="Y546" s="41"/>
      <c r="Z546" s="9"/>
      <c r="AA546" s="9"/>
      <c r="AB546" s="9"/>
      <c r="AC546" s="7">
        <v>41990</v>
      </c>
      <c r="AD546" s="33"/>
      <c r="AE546" s="33"/>
      <c r="AF546" s="33"/>
      <c r="AG546" s="66"/>
      <c r="AH546" s="44"/>
      <c r="AI546" s="45"/>
      <c r="AJ546" s="36"/>
      <c r="AK546" s="36"/>
    </row>
    <row r="547" spans="1:37" x14ac:dyDescent="0.3">
      <c r="A547" s="31"/>
      <c r="B547" s="13">
        <v>46183</v>
      </c>
      <c r="C547" s="60">
        <v>10018112</v>
      </c>
      <c r="D547" s="30" t="s">
        <v>1433</v>
      </c>
      <c r="E547" s="30" t="s">
        <v>1433</v>
      </c>
      <c r="F547" s="65" t="s">
        <v>1363</v>
      </c>
      <c r="G547" s="71">
        <v>46205</v>
      </c>
      <c r="H547" s="15" t="s">
        <v>251</v>
      </c>
      <c r="I547" s="63"/>
      <c r="J547" s="15"/>
      <c r="K547" s="29">
        <v>44940</v>
      </c>
      <c r="L547" s="29">
        <v>46023</v>
      </c>
      <c r="M547" s="29" t="s">
        <v>211</v>
      </c>
      <c r="N547" s="29" t="s">
        <v>95</v>
      </c>
      <c r="O547" s="29" t="s">
        <v>23</v>
      </c>
      <c r="P547" s="29" t="s">
        <v>212</v>
      </c>
      <c r="Q547" s="32"/>
      <c r="R547" s="14" t="s">
        <v>1222</v>
      </c>
      <c r="S547" s="37"/>
      <c r="T547" s="38"/>
      <c r="U547" s="30"/>
      <c r="V547" s="39"/>
      <c r="W547" s="40"/>
      <c r="X547" s="39"/>
      <c r="Y547" s="41"/>
      <c r="Z547" s="9"/>
      <c r="AA547" s="9"/>
      <c r="AB547" s="9"/>
      <c r="AC547" s="7">
        <v>65764</v>
      </c>
      <c r="AD547" s="33"/>
      <c r="AE547" s="33"/>
      <c r="AF547" s="33"/>
      <c r="AG547" s="66"/>
      <c r="AH547" s="44"/>
      <c r="AI547" s="45"/>
      <c r="AJ547" s="36"/>
      <c r="AK547" s="36"/>
    </row>
    <row r="548" spans="1:37" x14ac:dyDescent="0.3">
      <c r="A548" s="31"/>
      <c r="B548" s="13">
        <v>46183</v>
      </c>
      <c r="C548" s="60">
        <v>10023962</v>
      </c>
      <c r="D548" s="30" t="s">
        <v>1530</v>
      </c>
      <c r="E548" s="30" t="s">
        <v>1530</v>
      </c>
      <c r="F548" s="65" t="s">
        <v>1402</v>
      </c>
      <c r="G548" s="71">
        <v>46205</v>
      </c>
      <c r="H548" s="15" t="s">
        <v>251</v>
      </c>
      <c r="I548" s="63"/>
      <c r="J548" s="15"/>
      <c r="K548" s="29">
        <v>45811</v>
      </c>
      <c r="L548" s="29">
        <v>46023</v>
      </c>
      <c r="M548" s="29" t="s">
        <v>219</v>
      </c>
      <c r="N548" s="29" t="s">
        <v>93</v>
      </c>
      <c r="O548" s="29" t="s">
        <v>22</v>
      </c>
      <c r="P548" s="29" t="s">
        <v>214</v>
      </c>
      <c r="Q548" s="32"/>
      <c r="R548" s="14" t="s">
        <v>1222</v>
      </c>
      <c r="S548" s="37"/>
      <c r="T548" s="38"/>
      <c r="U548" s="30"/>
      <c r="V548" s="39"/>
      <c r="W548" s="40"/>
      <c r="X548" s="39"/>
      <c r="Y548" s="41"/>
      <c r="Z548" s="9"/>
      <c r="AA548" s="9"/>
      <c r="AB548" s="9"/>
      <c r="AC548" s="7">
        <v>8516</v>
      </c>
      <c r="AD548" s="33"/>
      <c r="AE548" s="33"/>
      <c r="AF548" s="33"/>
      <c r="AG548" s="66"/>
      <c r="AH548" s="44"/>
      <c r="AI548" s="45"/>
      <c r="AJ548" s="36"/>
      <c r="AK548" s="36"/>
    </row>
    <row r="549" spans="1:37" x14ac:dyDescent="0.3">
      <c r="A549" s="43"/>
      <c r="B549" s="13">
        <v>46127</v>
      </c>
      <c r="C549" s="60">
        <v>10020343</v>
      </c>
      <c r="D549" s="61">
        <v>8801853557172</v>
      </c>
      <c r="E549" s="61">
        <v>8801853557172</v>
      </c>
      <c r="F549" s="65" t="s">
        <v>1003</v>
      </c>
      <c r="G549" s="71">
        <v>46207</v>
      </c>
      <c r="H549" s="15" t="s">
        <v>251</v>
      </c>
      <c r="I549" s="63" t="s">
        <v>916</v>
      </c>
      <c r="J549" s="15" t="s">
        <v>1307</v>
      </c>
      <c r="K549" s="29">
        <v>45323</v>
      </c>
      <c r="L549" s="29">
        <v>45962</v>
      </c>
      <c r="M549" s="29" t="s">
        <v>211</v>
      </c>
      <c r="N549" s="29" t="s">
        <v>853</v>
      </c>
      <c r="O549" s="29" t="s">
        <v>23</v>
      </c>
      <c r="P549" s="29" t="s">
        <v>212</v>
      </c>
      <c r="Q549" s="32"/>
      <c r="R549" s="14" t="s">
        <v>1222</v>
      </c>
      <c r="S549" s="37"/>
      <c r="T549" s="38"/>
      <c r="U549" s="30"/>
      <c r="V549" s="39"/>
      <c r="W549" s="40"/>
      <c r="X549" s="39"/>
      <c r="Y549" s="41"/>
      <c r="Z549" s="9"/>
      <c r="AA549" s="9"/>
      <c r="AB549" s="9"/>
      <c r="AC549" s="7">
        <v>3761</v>
      </c>
      <c r="AD549" s="33"/>
      <c r="AE549" s="33"/>
      <c r="AF549" s="33"/>
      <c r="AG549" s="66">
        <v>46310</v>
      </c>
      <c r="AH549" s="44"/>
      <c r="AI549" s="45"/>
      <c r="AJ549" s="36"/>
      <c r="AK549" s="36"/>
    </row>
    <row r="550" spans="1:37" x14ac:dyDescent="0.3">
      <c r="A550" s="31"/>
      <c r="B550" s="13">
        <v>46127</v>
      </c>
      <c r="C550" s="60">
        <v>10022202</v>
      </c>
      <c r="D550" s="61">
        <v>8801603433294</v>
      </c>
      <c r="E550" s="61">
        <v>8801603433294</v>
      </c>
      <c r="F550" s="65" t="s">
        <v>1038</v>
      </c>
      <c r="G550" s="71">
        <v>46207</v>
      </c>
      <c r="H550" s="15" t="s">
        <v>251</v>
      </c>
      <c r="I550" s="63" t="s">
        <v>916</v>
      </c>
      <c r="J550" s="15" t="s">
        <v>1307</v>
      </c>
      <c r="K550" s="29">
        <v>45592</v>
      </c>
      <c r="L550" s="29">
        <v>45870</v>
      </c>
      <c r="M550" s="29" t="s">
        <v>220</v>
      </c>
      <c r="N550" s="29" t="s">
        <v>301</v>
      </c>
      <c r="O550" s="29" t="s">
        <v>17</v>
      </c>
      <c r="P550" s="29" t="s">
        <v>221</v>
      </c>
      <c r="Q550" s="32"/>
      <c r="R550" s="14" t="s">
        <v>1222</v>
      </c>
      <c r="S550" s="37"/>
      <c r="T550" s="38"/>
      <c r="U550" s="30"/>
      <c r="V550" s="39"/>
      <c r="W550" s="40"/>
      <c r="X550" s="39"/>
      <c r="Y550" s="41"/>
      <c r="Z550" s="9"/>
      <c r="AA550" s="9"/>
      <c r="AB550" s="9"/>
      <c r="AC550" s="7">
        <v>2202</v>
      </c>
      <c r="AD550" s="33"/>
      <c r="AE550" s="33"/>
      <c r="AF550" s="33"/>
      <c r="AG550" s="66">
        <v>46310</v>
      </c>
      <c r="AH550" s="44"/>
      <c r="AI550" s="45"/>
      <c r="AJ550" s="36"/>
      <c r="AK550" s="36"/>
    </row>
    <row r="551" spans="1:37" x14ac:dyDescent="0.3">
      <c r="A551" s="31"/>
      <c r="B551" s="13">
        <v>46147</v>
      </c>
      <c r="C551" s="60">
        <v>10023870</v>
      </c>
      <c r="D551" s="30">
        <v>8801833584403</v>
      </c>
      <c r="E551" s="30">
        <v>8801833584403</v>
      </c>
      <c r="F551" s="65" t="s">
        <v>1255</v>
      </c>
      <c r="G551" s="71">
        <v>46207</v>
      </c>
      <c r="H551" s="15" t="s">
        <v>251</v>
      </c>
      <c r="I551" s="63" t="s">
        <v>916</v>
      </c>
      <c r="J551" s="15" t="s">
        <v>1315</v>
      </c>
      <c r="K551" s="29">
        <v>45819</v>
      </c>
      <c r="L551" s="29">
        <v>45992</v>
      </c>
      <c r="M551" s="29" t="s">
        <v>211</v>
      </c>
      <c r="N551" s="29" t="s">
        <v>148</v>
      </c>
      <c r="O551" s="29" t="s">
        <v>23</v>
      </c>
      <c r="P551" s="29" t="s">
        <v>212</v>
      </c>
      <c r="Q551" s="32"/>
      <c r="R551" s="14" t="s">
        <v>1222</v>
      </c>
      <c r="S551" s="37"/>
      <c r="T551" s="38"/>
      <c r="U551" s="30"/>
      <c r="V551" s="39"/>
      <c r="W551" s="40"/>
      <c r="X551" s="39"/>
      <c r="Y551" s="41"/>
      <c r="Z551" s="9"/>
      <c r="AA551" s="9"/>
      <c r="AB551" s="9"/>
      <c r="AC551" s="7">
        <v>6867</v>
      </c>
      <c r="AD551" s="33"/>
      <c r="AE551" s="33"/>
      <c r="AF551" s="33"/>
      <c r="AG551" s="66">
        <v>46331</v>
      </c>
      <c r="AH551" s="44"/>
      <c r="AI551" s="45"/>
      <c r="AJ551" s="36"/>
      <c r="AK551" s="36"/>
    </row>
    <row r="552" spans="1:37" x14ac:dyDescent="0.3">
      <c r="A552" s="31"/>
      <c r="B552" s="13">
        <v>46183</v>
      </c>
      <c r="C552" s="60">
        <v>10019440</v>
      </c>
      <c r="D552" s="30" t="s">
        <v>1435</v>
      </c>
      <c r="E552" s="30" t="s">
        <v>1435</v>
      </c>
      <c r="F552" s="65" t="s">
        <v>1365</v>
      </c>
      <c r="G552" s="71">
        <v>46207</v>
      </c>
      <c r="H552" s="15" t="s">
        <v>251</v>
      </c>
      <c r="I552" s="63"/>
      <c r="J552" s="15"/>
      <c r="K552" s="29">
        <v>45164</v>
      </c>
      <c r="L552" s="29">
        <v>46023</v>
      </c>
      <c r="M552" s="29" t="s">
        <v>219</v>
      </c>
      <c r="N552" s="29" t="s">
        <v>101</v>
      </c>
      <c r="O552" s="29" t="s">
        <v>23</v>
      </c>
      <c r="P552" s="29" t="s">
        <v>214</v>
      </c>
      <c r="Q552" s="32"/>
      <c r="R552" s="14" t="s">
        <v>1222</v>
      </c>
      <c r="S552" s="37"/>
      <c r="T552" s="38"/>
      <c r="U552" s="30"/>
      <c r="V552" s="39"/>
      <c r="W552" s="40"/>
      <c r="X552" s="39"/>
      <c r="Y552" s="41"/>
      <c r="Z552" s="9"/>
      <c r="AA552" s="9"/>
      <c r="AB552" s="9"/>
      <c r="AC552" s="7">
        <v>35766</v>
      </c>
      <c r="AD552" s="33"/>
      <c r="AE552" s="33"/>
      <c r="AF552" s="33"/>
      <c r="AG552" s="66"/>
      <c r="AH552" s="44"/>
      <c r="AI552" s="45"/>
      <c r="AJ552" s="36"/>
      <c r="AK552" s="36"/>
    </row>
    <row r="553" spans="1:37" x14ac:dyDescent="0.3">
      <c r="A553" s="31"/>
      <c r="B553" s="13">
        <v>46183</v>
      </c>
      <c r="C553" s="60">
        <v>10024213</v>
      </c>
      <c r="D553" s="30" t="s">
        <v>1506</v>
      </c>
      <c r="E553" s="30" t="s">
        <v>1506</v>
      </c>
      <c r="F553" s="65" t="s">
        <v>1376</v>
      </c>
      <c r="G553" s="71">
        <v>46207</v>
      </c>
      <c r="H553" s="15" t="s">
        <v>251</v>
      </c>
      <c r="I553" s="63"/>
      <c r="J553" s="15"/>
      <c r="K553" s="29">
        <v>45870</v>
      </c>
      <c r="L553" s="29">
        <v>46008</v>
      </c>
      <c r="M553" s="29" t="s">
        <v>211</v>
      </c>
      <c r="N553" s="29" t="s">
        <v>122</v>
      </c>
      <c r="O553" s="29" t="s">
        <v>23</v>
      </c>
      <c r="P553" s="29" t="s">
        <v>212</v>
      </c>
      <c r="Q553" s="32"/>
      <c r="R553" s="14" t="s">
        <v>1222</v>
      </c>
      <c r="S553" s="37"/>
      <c r="T553" s="38"/>
      <c r="U553" s="30"/>
      <c r="V553" s="39"/>
      <c r="W553" s="40"/>
      <c r="X553" s="39"/>
      <c r="Y553" s="41"/>
      <c r="Z553" s="9"/>
      <c r="AA553" s="9"/>
      <c r="AB553" s="9"/>
      <c r="AC553" s="7">
        <v>16834</v>
      </c>
      <c r="AD553" s="33"/>
      <c r="AE553" s="33"/>
      <c r="AF553" s="33"/>
      <c r="AG553" s="66"/>
      <c r="AH553" s="44"/>
      <c r="AI553" s="45"/>
      <c r="AJ553" s="36"/>
      <c r="AK553" s="36"/>
    </row>
    <row r="554" spans="1:37" x14ac:dyDescent="0.3">
      <c r="A554" s="31"/>
      <c r="B554" s="13">
        <v>46183</v>
      </c>
      <c r="C554" s="60">
        <v>16355</v>
      </c>
      <c r="D554" s="30" t="s">
        <v>1442</v>
      </c>
      <c r="E554" s="30" t="s">
        <v>1518</v>
      </c>
      <c r="F554" s="65" t="s">
        <v>1390</v>
      </c>
      <c r="G554" s="71">
        <v>46207</v>
      </c>
      <c r="H554" s="15" t="s">
        <v>251</v>
      </c>
      <c r="I554" s="63"/>
      <c r="J554" s="15"/>
      <c r="K554" s="29">
        <v>44574</v>
      </c>
      <c r="L554" s="29">
        <v>45973</v>
      </c>
      <c r="M554" s="29" t="s">
        <v>216</v>
      </c>
      <c r="N554" s="29" t="s">
        <v>1459</v>
      </c>
      <c r="O554" s="29" t="s">
        <v>23</v>
      </c>
      <c r="P554" s="29" t="s">
        <v>217</v>
      </c>
      <c r="Q554" s="32">
        <v>45909</v>
      </c>
      <c r="R554" s="14" t="s">
        <v>1222</v>
      </c>
      <c r="S554" s="37"/>
      <c r="T554" s="38"/>
      <c r="U554" s="30"/>
      <c r="V554" s="39"/>
      <c r="W554" s="40"/>
      <c r="X554" s="39"/>
      <c r="Y554" s="41"/>
      <c r="Z554" s="9"/>
      <c r="AA554" s="9"/>
      <c r="AB554" s="9"/>
      <c r="AC554" s="7">
        <v>98226</v>
      </c>
      <c r="AD554" s="33"/>
      <c r="AE554" s="33"/>
      <c r="AF554" s="33"/>
      <c r="AG554" s="66"/>
      <c r="AH554" s="44"/>
      <c r="AI554" s="45"/>
      <c r="AJ554" s="36"/>
      <c r="AK554" s="36"/>
    </row>
    <row r="555" spans="1:37" x14ac:dyDescent="0.3">
      <c r="A555" s="31"/>
      <c r="B555" s="13">
        <v>46183</v>
      </c>
      <c r="C555" s="60">
        <v>10022518</v>
      </c>
      <c r="D555" s="30" t="s">
        <v>1539</v>
      </c>
      <c r="E555" s="30" t="s">
        <v>1539</v>
      </c>
      <c r="F555" s="65" t="s">
        <v>1411</v>
      </c>
      <c r="G555" s="71">
        <v>46207</v>
      </c>
      <c r="H555" s="15" t="s">
        <v>251</v>
      </c>
      <c r="I555" s="63"/>
      <c r="J555" s="15"/>
      <c r="K555" s="29">
        <v>45627</v>
      </c>
      <c r="L555" s="29">
        <v>45901</v>
      </c>
      <c r="M555" s="29" t="s">
        <v>211</v>
      </c>
      <c r="N555" s="29" t="s">
        <v>189</v>
      </c>
      <c r="O555" s="29" t="s">
        <v>23</v>
      </c>
      <c r="P555" s="29" t="s">
        <v>212</v>
      </c>
      <c r="Q555" s="32"/>
      <c r="R555" s="14" t="s">
        <v>1222</v>
      </c>
      <c r="S555" s="37"/>
      <c r="T555" s="38"/>
      <c r="U555" s="30"/>
      <c r="V555" s="39"/>
      <c r="W555" s="40"/>
      <c r="X555" s="39"/>
      <c r="Y555" s="41"/>
      <c r="Z555" s="9"/>
      <c r="AA555" s="9"/>
      <c r="AB555" s="9"/>
      <c r="AC555" s="7">
        <v>9808</v>
      </c>
      <c r="AD555" s="33"/>
      <c r="AE555" s="33"/>
      <c r="AF555" s="33"/>
      <c r="AG555" s="66"/>
      <c r="AH555" s="44"/>
      <c r="AI555" s="45"/>
      <c r="AJ555" s="36"/>
      <c r="AK555" s="36"/>
    </row>
    <row r="556" spans="1:37" x14ac:dyDescent="0.3">
      <c r="A556" s="31"/>
      <c r="B556" s="13">
        <v>46194</v>
      </c>
      <c r="C556" s="60">
        <v>15269</v>
      </c>
      <c r="D556" s="30" t="s">
        <v>1584</v>
      </c>
      <c r="E556" s="30" t="s">
        <v>1585</v>
      </c>
      <c r="F556" s="65" t="s">
        <v>51</v>
      </c>
      <c r="G556" s="71">
        <v>46207</v>
      </c>
      <c r="H556" s="15" t="s">
        <v>251</v>
      </c>
      <c r="I556" s="63"/>
      <c r="J556" s="15"/>
      <c r="K556" s="29">
        <v>44297</v>
      </c>
      <c r="L556" s="29">
        <v>45911</v>
      </c>
      <c r="M556" s="29" t="s">
        <v>219</v>
      </c>
      <c r="N556" s="29"/>
      <c r="O556" s="29" t="s">
        <v>23</v>
      </c>
      <c r="P556" s="29" t="s">
        <v>214</v>
      </c>
      <c r="Q556" s="32">
        <v>45292</v>
      </c>
      <c r="R556" s="14" t="s">
        <v>1222</v>
      </c>
      <c r="S556" s="37"/>
      <c r="T556" s="38"/>
      <c r="U556" s="30"/>
      <c r="V556" s="39"/>
      <c r="W556" s="40"/>
      <c r="X556" s="39"/>
      <c r="Y556" s="41"/>
      <c r="Z556" s="9"/>
      <c r="AA556" s="9"/>
      <c r="AB556" s="9"/>
      <c r="AC556" s="7">
        <v>169384</v>
      </c>
      <c r="AD556" s="33"/>
      <c r="AE556" s="33"/>
      <c r="AF556" s="33"/>
      <c r="AG556" s="66"/>
      <c r="AH556" s="44"/>
      <c r="AI556" s="45"/>
      <c r="AJ556" s="36"/>
      <c r="AK556" s="36"/>
    </row>
    <row r="557" spans="1:37" x14ac:dyDescent="0.3">
      <c r="A557" s="31"/>
      <c r="B557" s="13">
        <v>46194</v>
      </c>
      <c r="C557" s="60">
        <v>10016632</v>
      </c>
      <c r="D557" s="30" t="s">
        <v>1590</v>
      </c>
      <c r="E557" s="30" t="s">
        <v>1579</v>
      </c>
      <c r="F557" s="65" t="s">
        <v>83</v>
      </c>
      <c r="G557" s="71">
        <v>46207</v>
      </c>
      <c r="H557" s="15" t="s">
        <v>251</v>
      </c>
      <c r="I557" s="63"/>
      <c r="J557" s="15"/>
      <c r="K557" s="29">
        <v>44635</v>
      </c>
      <c r="L557" s="29">
        <v>45901</v>
      </c>
      <c r="M557" s="29" t="s">
        <v>219</v>
      </c>
      <c r="N557" s="29"/>
      <c r="O557" s="29" t="s">
        <v>23</v>
      </c>
      <c r="P557" s="29" t="s">
        <v>214</v>
      </c>
      <c r="Q557" s="32">
        <v>45658</v>
      </c>
      <c r="R557" s="14" t="s">
        <v>1222</v>
      </c>
      <c r="S557" s="37"/>
      <c r="T557" s="38"/>
      <c r="U557" s="30"/>
      <c r="V557" s="39"/>
      <c r="W557" s="40"/>
      <c r="X557" s="39"/>
      <c r="Y557" s="41"/>
      <c r="Z557" s="9"/>
      <c r="AA557" s="9"/>
      <c r="AB557" s="9"/>
      <c r="AC557" s="7">
        <v>112595</v>
      </c>
      <c r="AD557" s="33"/>
      <c r="AE557" s="33"/>
      <c r="AF557" s="33"/>
      <c r="AG557" s="66"/>
      <c r="AH557" s="44"/>
      <c r="AI557" s="45"/>
      <c r="AJ557" s="36"/>
      <c r="AK557" s="36"/>
    </row>
    <row r="558" spans="1:37" x14ac:dyDescent="0.3">
      <c r="A558" s="31"/>
      <c r="B558" s="13">
        <v>46194</v>
      </c>
      <c r="C558" s="60">
        <v>10021239</v>
      </c>
      <c r="D558" s="30" t="s">
        <v>1597</v>
      </c>
      <c r="E558" s="30" t="s">
        <v>1597</v>
      </c>
      <c r="F558" s="65" t="s">
        <v>38</v>
      </c>
      <c r="G558" s="71">
        <v>46207</v>
      </c>
      <c r="H558" s="15" t="s">
        <v>251</v>
      </c>
      <c r="I558" s="63"/>
      <c r="J558" s="15"/>
      <c r="K558" s="29">
        <v>45446</v>
      </c>
      <c r="L558" s="29">
        <v>45996</v>
      </c>
      <c r="M558" s="29" t="s">
        <v>211</v>
      </c>
      <c r="N558" s="29"/>
      <c r="O558" s="29" t="s">
        <v>23</v>
      </c>
      <c r="P558" s="29" t="s">
        <v>212</v>
      </c>
      <c r="Q558" s="32"/>
      <c r="R558" s="14" t="s">
        <v>1222</v>
      </c>
      <c r="S558" s="37"/>
      <c r="T558" s="38"/>
      <c r="U558" s="30"/>
      <c r="V558" s="39"/>
      <c r="W558" s="40"/>
      <c r="X558" s="39"/>
      <c r="Y558" s="41"/>
      <c r="Z558" s="9"/>
      <c r="AA558" s="9"/>
      <c r="AB558" s="9"/>
      <c r="AC558" s="7">
        <v>39806</v>
      </c>
      <c r="AD558" s="33"/>
      <c r="AE558" s="33"/>
      <c r="AF558" s="33"/>
      <c r="AG558" s="66"/>
      <c r="AH558" s="44"/>
      <c r="AI558" s="45"/>
      <c r="AJ558" s="36"/>
      <c r="AK558" s="36"/>
    </row>
    <row r="559" spans="1:37" x14ac:dyDescent="0.3">
      <c r="A559" s="31"/>
      <c r="B559" s="13">
        <v>46194</v>
      </c>
      <c r="C559" s="60">
        <v>10021482</v>
      </c>
      <c r="D559" s="30" t="s">
        <v>1602</v>
      </c>
      <c r="E559" s="30" t="s">
        <v>1602</v>
      </c>
      <c r="F559" s="65" t="s">
        <v>1573</v>
      </c>
      <c r="G559" s="71">
        <v>46207</v>
      </c>
      <c r="H559" s="15" t="s">
        <v>251</v>
      </c>
      <c r="I559" s="63"/>
      <c r="J559" s="15"/>
      <c r="K559" s="29">
        <v>45474</v>
      </c>
      <c r="L559" s="29">
        <v>45911</v>
      </c>
      <c r="M559" s="29" t="s">
        <v>330</v>
      </c>
      <c r="N559" s="29"/>
      <c r="O559" s="29" t="s">
        <v>17</v>
      </c>
      <c r="P559" s="29" t="s">
        <v>227</v>
      </c>
      <c r="Q559" s="32"/>
      <c r="R559" s="14" t="s">
        <v>1222</v>
      </c>
      <c r="S559" s="37"/>
      <c r="T559" s="38"/>
      <c r="U559" s="30"/>
      <c r="V559" s="39"/>
      <c r="W559" s="40"/>
      <c r="X559" s="39"/>
      <c r="Y559" s="41"/>
      <c r="Z559" s="9"/>
      <c r="AA559" s="9"/>
      <c r="AB559" s="9"/>
      <c r="AC559" s="7">
        <v>29343</v>
      </c>
      <c r="AD559" s="33"/>
      <c r="AE559" s="33"/>
      <c r="AF559" s="33"/>
      <c r="AG559" s="66"/>
      <c r="AH559" s="44"/>
      <c r="AI559" s="45"/>
      <c r="AJ559" s="36"/>
      <c r="AK559" s="36"/>
    </row>
    <row r="560" spans="1:37" x14ac:dyDescent="0.3">
      <c r="A560" s="31"/>
      <c r="B560" s="13">
        <v>46194</v>
      </c>
      <c r="C560" s="60">
        <v>10022416</v>
      </c>
      <c r="D560" s="30" t="s">
        <v>1603</v>
      </c>
      <c r="E560" s="30" t="s">
        <v>1603</v>
      </c>
      <c r="F560" s="65" t="s">
        <v>65</v>
      </c>
      <c r="G560" s="71">
        <v>46207</v>
      </c>
      <c r="H560" s="15" t="s">
        <v>251</v>
      </c>
      <c r="I560" s="63"/>
      <c r="J560" s="15"/>
      <c r="K560" s="29">
        <v>45627</v>
      </c>
      <c r="L560" s="29">
        <v>45962</v>
      </c>
      <c r="M560" s="29" t="s">
        <v>219</v>
      </c>
      <c r="N560" s="29"/>
      <c r="O560" s="29" t="s">
        <v>23</v>
      </c>
      <c r="P560" s="29" t="s">
        <v>214</v>
      </c>
      <c r="Q560" s="32"/>
      <c r="R560" s="14" t="s">
        <v>1222</v>
      </c>
      <c r="S560" s="37"/>
      <c r="T560" s="38"/>
      <c r="U560" s="30"/>
      <c r="V560" s="39"/>
      <c r="W560" s="40"/>
      <c r="X560" s="39"/>
      <c r="Y560" s="41"/>
      <c r="Z560" s="9"/>
      <c r="AA560" s="9"/>
      <c r="AB560" s="9"/>
      <c r="AC560" s="7">
        <v>5344</v>
      </c>
      <c r="AD560" s="33"/>
      <c r="AE560" s="33"/>
      <c r="AF560" s="33"/>
      <c r="AG560" s="66"/>
      <c r="AH560" s="44"/>
      <c r="AI560" s="45"/>
      <c r="AJ560" s="36"/>
      <c r="AK560" s="36"/>
    </row>
    <row r="561" spans="1:37" x14ac:dyDescent="0.3">
      <c r="A561" s="31"/>
      <c r="B561" s="13">
        <v>46183</v>
      </c>
      <c r="C561" s="60">
        <v>10017286</v>
      </c>
      <c r="D561" s="30" t="s">
        <v>1551</v>
      </c>
      <c r="E561" s="30" t="s">
        <v>1423</v>
      </c>
      <c r="F561" s="65" t="s">
        <v>76</v>
      </c>
      <c r="G561" s="77">
        <v>46209</v>
      </c>
      <c r="H561" s="15" t="s">
        <v>251</v>
      </c>
      <c r="I561" s="63"/>
      <c r="J561" s="15"/>
      <c r="K561" s="29">
        <v>44770</v>
      </c>
      <c r="L561" s="29">
        <v>45985</v>
      </c>
      <c r="M561" s="29" t="s">
        <v>219</v>
      </c>
      <c r="N561" s="29" t="s">
        <v>130</v>
      </c>
      <c r="O561" s="29" t="s">
        <v>23</v>
      </c>
      <c r="P561" s="29" t="s">
        <v>214</v>
      </c>
      <c r="Q561" s="32">
        <v>45658</v>
      </c>
      <c r="R561" s="14" t="s">
        <v>1222</v>
      </c>
      <c r="S561" s="37"/>
      <c r="T561" s="38"/>
      <c r="U561" s="30"/>
      <c r="V561" s="39"/>
      <c r="W561" s="40"/>
      <c r="X561" s="39"/>
      <c r="Y561" s="41"/>
      <c r="Z561" s="9"/>
      <c r="AA561" s="9"/>
      <c r="AB561" s="9"/>
      <c r="AC561" s="7">
        <v>145777</v>
      </c>
      <c r="AD561" s="33"/>
      <c r="AE561" s="33"/>
      <c r="AF561" s="33"/>
      <c r="AG561" s="66"/>
      <c r="AH561" s="44"/>
      <c r="AI561" s="45"/>
      <c r="AJ561" s="36"/>
      <c r="AK561" s="36"/>
    </row>
    <row r="562" spans="1:37" x14ac:dyDescent="0.3">
      <c r="A562" s="31"/>
      <c r="B562" s="13">
        <v>46183</v>
      </c>
      <c r="C562" s="60">
        <v>11699</v>
      </c>
      <c r="D562" s="30" t="s">
        <v>1500</v>
      </c>
      <c r="E562" s="30" t="s">
        <v>1501</v>
      </c>
      <c r="F562" s="65" t="s">
        <v>1371</v>
      </c>
      <c r="G562" s="77">
        <v>46209</v>
      </c>
      <c r="H562" s="15" t="s">
        <v>251</v>
      </c>
      <c r="I562" s="63"/>
      <c r="J562" s="15"/>
      <c r="K562" s="29">
        <v>43401</v>
      </c>
      <c r="L562" s="29">
        <v>45979</v>
      </c>
      <c r="M562" s="29" t="s">
        <v>219</v>
      </c>
      <c r="N562" s="29" t="s">
        <v>189</v>
      </c>
      <c r="O562" s="29" t="s">
        <v>23</v>
      </c>
      <c r="P562" s="29" t="s">
        <v>214</v>
      </c>
      <c r="Q562" s="32">
        <v>44562</v>
      </c>
      <c r="R562" s="14" t="s">
        <v>1222</v>
      </c>
      <c r="S562" s="37"/>
      <c r="T562" s="38"/>
      <c r="U562" s="30"/>
      <c r="V562" s="39"/>
      <c r="W562" s="40"/>
      <c r="X562" s="39"/>
      <c r="Y562" s="41"/>
      <c r="Z562" s="9"/>
      <c r="AA562" s="9"/>
      <c r="AB562" s="9"/>
      <c r="AC562" s="7">
        <v>409442</v>
      </c>
      <c r="AD562" s="33"/>
      <c r="AE562" s="33"/>
      <c r="AF562" s="33"/>
      <c r="AG562" s="66"/>
      <c r="AH562" s="44"/>
      <c r="AI562" s="45"/>
      <c r="AJ562" s="36"/>
      <c r="AK562" s="36"/>
    </row>
    <row r="563" spans="1:37" x14ac:dyDescent="0.3">
      <c r="A563" s="31"/>
      <c r="B563" s="13">
        <v>46194</v>
      </c>
      <c r="C563" s="60">
        <v>12849</v>
      </c>
      <c r="D563" s="30" t="s">
        <v>1582</v>
      </c>
      <c r="E563" s="30" t="s">
        <v>1583</v>
      </c>
      <c r="F563" s="65" t="s">
        <v>1565</v>
      </c>
      <c r="G563" s="77">
        <v>46209</v>
      </c>
      <c r="H563" s="15" t="s">
        <v>251</v>
      </c>
      <c r="I563" s="63"/>
      <c r="J563" s="15"/>
      <c r="K563" s="29">
        <v>43642</v>
      </c>
      <c r="L563" s="29">
        <v>45962</v>
      </c>
      <c r="M563" s="29" t="s">
        <v>219</v>
      </c>
      <c r="N563" s="29"/>
      <c r="O563" s="29" t="s">
        <v>23</v>
      </c>
      <c r="P563" s="29" t="s">
        <v>214</v>
      </c>
      <c r="Q563" s="32">
        <v>44562</v>
      </c>
      <c r="R563" s="14" t="s">
        <v>1222</v>
      </c>
      <c r="S563" s="37"/>
      <c r="T563" s="38"/>
      <c r="U563" s="30"/>
      <c r="V563" s="39"/>
      <c r="W563" s="40"/>
      <c r="X563" s="39"/>
      <c r="Y563" s="41"/>
      <c r="Z563" s="9"/>
      <c r="AA563" s="9"/>
      <c r="AB563" s="9"/>
      <c r="AC563" s="7">
        <v>392379</v>
      </c>
      <c r="AD563" s="33"/>
      <c r="AE563" s="33"/>
      <c r="AF563" s="33"/>
      <c r="AG563" s="66"/>
      <c r="AH563" s="44"/>
      <c r="AI563" s="45"/>
      <c r="AJ563" s="36"/>
      <c r="AK563" s="36"/>
    </row>
    <row r="564" spans="1:37" x14ac:dyDescent="0.3">
      <c r="A564" s="31"/>
      <c r="B564" s="13">
        <v>46147</v>
      </c>
      <c r="C564" s="60">
        <v>10020347</v>
      </c>
      <c r="D564" s="30">
        <v>8801626777668</v>
      </c>
      <c r="E564" s="30">
        <v>8801626777668</v>
      </c>
      <c r="F564" s="65" t="s">
        <v>1247</v>
      </c>
      <c r="G564" s="77">
        <v>46210</v>
      </c>
      <c r="H564" s="15" t="s">
        <v>251</v>
      </c>
      <c r="I564" s="63" t="s">
        <v>916</v>
      </c>
      <c r="J564" s="15" t="s">
        <v>1307</v>
      </c>
      <c r="K564" s="29">
        <v>45306</v>
      </c>
      <c r="L564" s="29">
        <v>45809</v>
      </c>
      <c r="M564" s="29" t="s">
        <v>220</v>
      </c>
      <c r="N564" s="29" t="s">
        <v>94</v>
      </c>
      <c r="O564" s="29" t="s">
        <v>17</v>
      </c>
      <c r="P564" s="29" t="s">
        <v>221</v>
      </c>
      <c r="Q564" s="32"/>
      <c r="R564" s="14" t="s">
        <v>1222</v>
      </c>
      <c r="S564" s="37"/>
      <c r="T564" s="38"/>
      <c r="U564" s="30"/>
      <c r="V564" s="39"/>
      <c r="W564" s="40"/>
      <c r="X564" s="39"/>
      <c r="Y564" s="41"/>
      <c r="Z564" s="9"/>
      <c r="AA564" s="9"/>
      <c r="AB564" s="9"/>
      <c r="AC564" s="7">
        <v>26031</v>
      </c>
      <c r="AD564" s="33"/>
      <c r="AE564" s="33"/>
      <c r="AF564" s="33"/>
      <c r="AG564" s="66">
        <v>46331</v>
      </c>
      <c r="AH564" s="44"/>
      <c r="AI564" s="45"/>
      <c r="AJ564" s="36"/>
      <c r="AK564" s="36"/>
    </row>
    <row r="565" spans="1:37" x14ac:dyDescent="0.3">
      <c r="A565" s="31"/>
      <c r="B565" s="13">
        <v>46183</v>
      </c>
      <c r="C565" s="60">
        <v>10022539</v>
      </c>
      <c r="D565" s="30" t="s">
        <v>1480</v>
      </c>
      <c r="E565" s="30" t="s">
        <v>1480</v>
      </c>
      <c r="F565" s="65" t="s">
        <v>1351</v>
      </c>
      <c r="G565" s="77">
        <v>46210</v>
      </c>
      <c r="H565" s="15" t="s">
        <v>251</v>
      </c>
      <c r="I565" s="63"/>
      <c r="J565" s="15"/>
      <c r="K565" s="29">
        <v>45649</v>
      </c>
      <c r="L565" s="29">
        <v>46111</v>
      </c>
      <c r="M565" s="29" t="s">
        <v>224</v>
      </c>
      <c r="N565" s="29" t="s">
        <v>121</v>
      </c>
      <c r="O565" s="29" t="s">
        <v>28</v>
      </c>
      <c r="P565" s="29" t="s">
        <v>217</v>
      </c>
      <c r="Q565" s="32"/>
      <c r="R565" s="14" t="s">
        <v>1222</v>
      </c>
      <c r="S565" s="37"/>
      <c r="T565" s="38"/>
      <c r="U565" s="30"/>
      <c r="V565" s="39"/>
      <c r="W565" s="40"/>
      <c r="X565" s="39"/>
      <c r="Y565" s="41"/>
      <c r="Z565" s="9"/>
      <c r="AA565" s="9"/>
      <c r="AB565" s="9"/>
      <c r="AC565" s="7">
        <v>49568</v>
      </c>
      <c r="AD565" s="33"/>
      <c r="AE565" s="33"/>
      <c r="AF565" s="33"/>
      <c r="AG565" s="66"/>
      <c r="AH565" s="44"/>
      <c r="AI565" s="45"/>
      <c r="AJ565" s="36"/>
      <c r="AK565" s="36"/>
    </row>
    <row r="566" spans="1:37" x14ac:dyDescent="0.3">
      <c r="A566" s="31"/>
      <c r="B566" s="13">
        <v>46183</v>
      </c>
      <c r="C566" s="60">
        <v>30017045</v>
      </c>
      <c r="D566" s="30" t="s">
        <v>1528</v>
      </c>
      <c r="E566" s="30" t="s">
        <v>1528</v>
      </c>
      <c r="F566" s="65" t="s">
        <v>1399</v>
      </c>
      <c r="G566" s="77">
        <v>46210</v>
      </c>
      <c r="H566" s="15" t="s">
        <v>251</v>
      </c>
      <c r="I566" s="63"/>
      <c r="J566" s="15"/>
      <c r="K566" s="29">
        <v>45536</v>
      </c>
      <c r="L566" s="29">
        <v>46098</v>
      </c>
      <c r="M566" s="29" t="s">
        <v>235</v>
      </c>
      <c r="N566" s="29" t="s">
        <v>661</v>
      </c>
      <c r="O566" s="29" t="s">
        <v>31</v>
      </c>
      <c r="P566" s="29" t="s">
        <v>336</v>
      </c>
      <c r="Q566" s="32"/>
      <c r="R566" s="14" t="s">
        <v>1222</v>
      </c>
      <c r="S566" s="37"/>
      <c r="T566" s="38"/>
      <c r="U566" s="30"/>
      <c r="V566" s="39"/>
      <c r="W566" s="40"/>
      <c r="X566" s="39"/>
      <c r="Y566" s="41"/>
      <c r="Z566" s="9"/>
      <c r="AA566" s="9"/>
      <c r="AB566" s="9"/>
      <c r="AC566" s="7">
        <v>8763</v>
      </c>
      <c r="AD566" s="33"/>
      <c r="AE566" s="33"/>
      <c r="AF566" s="33"/>
      <c r="AG566" s="66"/>
      <c r="AH566" s="44"/>
      <c r="AI566" s="45"/>
      <c r="AJ566" s="36"/>
      <c r="AK566" s="36"/>
    </row>
    <row r="567" spans="1:37" x14ac:dyDescent="0.3">
      <c r="A567" s="31"/>
      <c r="B567" s="13">
        <v>46194</v>
      </c>
      <c r="C567" s="60">
        <v>10017425</v>
      </c>
      <c r="D567" s="30" t="s">
        <v>1598</v>
      </c>
      <c r="E567" s="30" t="s">
        <v>1599</v>
      </c>
      <c r="F567" s="65" t="s">
        <v>1571</v>
      </c>
      <c r="G567" s="77">
        <v>46210</v>
      </c>
      <c r="H567" s="15" t="s">
        <v>251</v>
      </c>
      <c r="I567" s="63"/>
      <c r="J567" s="15"/>
      <c r="K567" s="29">
        <v>44789</v>
      </c>
      <c r="L567" s="29">
        <v>45575</v>
      </c>
      <c r="M567" s="29" t="s">
        <v>211</v>
      </c>
      <c r="N567" s="29"/>
      <c r="O567" s="29" t="s">
        <v>25</v>
      </c>
      <c r="P567" s="29" t="s">
        <v>212</v>
      </c>
      <c r="Q567" s="32"/>
      <c r="R567" s="14" t="s">
        <v>1222</v>
      </c>
      <c r="S567" s="37"/>
      <c r="T567" s="38"/>
      <c r="U567" s="30"/>
      <c r="V567" s="39"/>
      <c r="W567" s="40"/>
      <c r="X567" s="39"/>
      <c r="Y567" s="41"/>
      <c r="Z567" s="9"/>
      <c r="AA567" s="9"/>
      <c r="AB567" s="9"/>
      <c r="AC567" s="7">
        <v>43456</v>
      </c>
      <c r="AD567" s="33"/>
      <c r="AE567" s="33"/>
      <c r="AF567" s="33"/>
      <c r="AG567" s="66"/>
      <c r="AH567" s="44"/>
      <c r="AI567" s="45"/>
      <c r="AJ567" s="36"/>
      <c r="AK567" s="36"/>
    </row>
    <row r="568" spans="1:37" x14ac:dyDescent="0.3">
      <c r="A568" s="31"/>
      <c r="B568" s="13">
        <v>46183</v>
      </c>
      <c r="C568" s="60">
        <v>15857</v>
      </c>
      <c r="D568" s="30" t="s">
        <v>1486</v>
      </c>
      <c r="E568" s="30"/>
      <c r="F568" s="65" t="s">
        <v>1355</v>
      </c>
      <c r="G568" s="77">
        <v>46211</v>
      </c>
      <c r="H568" s="15" t="s">
        <v>251</v>
      </c>
      <c r="I568" s="63"/>
      <c r="J568" s="15"/>
      <c r="K568" s="29">
        <v>44448</v>
      </c>
      <c r="L568" s="29">
        <v>45811</v>
      </c>
      <c r="M568" s="29" t="s">
        <v>219</v>
      </c>
      <c r="N568" s="29" t="s">
        <v>127</v>
      </c>
      <c r="O568" s="29" t="s">
        <v>23</v>
      </c>
      <c r="P568" s="29" t="s">
        <v>214</v>
      </c>
      <c r="Q568" s="32">
        <v>45292</v>
      </c>
      <c r="R568" s="14" t="s">
        <v>1222</v>
      </c>
      <c r="S568" s="37"/>
      <c r="T568" s="38"/>
      <c r="U568" s="30"/>
      <c r="V568" s="39"/>
      <c r="W568" s="40"/>
      <c r="X568" s="39"/>
      <c r="Y568" s="41"/>
      <c r="Z568" s="9"/>
      <c r="AA568" s="9"/>
      <c r="AB568" s="9"/>
      <c r="AC568" s="7">
        <v>102188</v>
      </c>
      <c r="AD568" s="33"/>
      <c r="AE568" s="33"/>
      <c r="AF568" s="33"/>
      <c r="AG568" s="66"/>
      <c r="AH568" s="44"/>
      <c r="AI568" s="45"/>
      <c r="AJ568" s="36"/>
      <c r="AK568" s="36"/>
    </row>
    <row r="569" spans="1:37" x14ac:dyDescent="0.3">
      <c r="A569" s="31"/>
      <c r="B569" s="13">
        <v>46183</v>
      </c>
      <c r="C569" s="60">
        <v>13176</v>
      </c>
      <c r="D569" s="30" t="s">
        <v>1496</v>
      </c>
      <c r="E569" s="30" t="s">
        <v>1434</v>
      </c>
      <c r="F569" s="65" t="s">
        <v>665</v>
      </c>
      <c r="G569" s="77">
        <v>46211</v>
      </c>
      <c r="H569" s="15" t="s">
        <v>251</v>
      </c>
      <c r="I569" s="63"/>
      <c r="J569" s="15"/>
      <c r="K569" s="29">
        <v>43750</v>
      </c>
      <c r="L569" s="29">
        <v>46053</v>
      </c>
      <c r="M569" s="29" t="s">
        <v>219</v>
      </c>
      <c r="N569" s="29" t="s">
        <v>96</v>
      </c>
      <c r="O569" s="29" t="s">
        <v>23</v>
      </c>
      <c r="P569" s="29" t="s">
        <v>214</v>
      </c>
      <c r="Q569" s="32">
        <v>45292</v>
      </c>
      <c r="R569" s="14" t="s">
        <v>1222</v>
      </c>
      <c r="S569" s="37"/>
      <c r="T569" s="38"/>
      <c r="U569" s="30"/>
      <c r="V569" s="39"/>
      <c r="W569" s="40"/>
      <c r="X569" s="39"/>
      <c r="Y569" s="41"/>
      <c r="Z569" s="9"/>
      <c r="AA569" s="9"/>
      <c r="AB569" s="9"/>
      <c r="AC569" s="7">
        <v>272212</v>
      </c>
      <c r="AD569" s="33"/>
      <c r="AE569" s="33"/>
      <c r="AF569" s="33"/>
      <c r="AG569" s="66"/>
      <c r="AH569" s="44"/>
      <c r="AI569" s="45"/>
      <c r="AJ569" s="36"/>
      <c r="AK569" s="36"/>
    </row>
    <row r="570" spans="1:37" x14ac:dyDescent="0.3">
      <c r="A570" s="31"/>
      <c r="B570" s="13">
        <v>46183</v>
      </c>
      <c r="C570" s="60">
        <v>10022314</v>
      </c>
      <c r="D570" s="30" t="s">
        <v>1508</v>
      </c>
      <c r="E570" s="30" t="s">
        <v>1509</v>
      </c>
      <c r="F570" s="65" t="s">
        <v>1379</v>
      </c>
      <c r="G570" s="77">
        <v>46211</v>
      </c>
      <c r="H570" s="15" t="s">
        <v>251</v>
      </c>
      <c r="I570" s="63"/>
      <c r="J570" s="15"/>
      <c r="K570" s="29">
        <v>45610</v>
      </c>
      <c r="L570" s="29">
        <v>45931</v>
      </c>
      <c r="M570" s="29" t="s">
        <v>211</v>
      </c>
      <c r="N570" s="29" t="s">
        <v>139</v>
      </c>
      <c r="O570" s="29" t="s">
        <v>23</v>
      </c>
      <c r="P570" s="29" t="s">
        <v>212</v>
      </c>
      <c r="Q570" s="32"/>
      <c r="R570" s="14" t="s">
        <v>1222</v>
      </c>
      <c r="S570" s="37"/>
      <c r="T570" s="38"/>
      <c r="U570" s="30"/>
      <c r="V570" s="39"/>
      <c r="W570" s="40"/>
      <c r="X570" s="39"/>
      <c r="Y570" s="41"/>
      <c r="Z570" s="9"/>
      <c r="AA570" s="9"/>
      <c r="AB570" s="9"/>
      <c r="AC570" s="7">
        <v>18692</v>
      </c>
      <c r="AD570" s="33"/>
      <c r="AE570" s="33"/>
      <c r="AF570" s="33"/>
      <c r="AG570" s="66"/>
      <c r="AH570" s="44"/>
      <c r="AI570" s="45"/>
      <c r="AJ570" s="36"/>
      <c r="AK570" s="36"/>
    </row>
    <row r="571" spans="1:37" x14ac:dyDescent="0.3">
      <c r="A571" s="31"/>
      <c r="B571" s="13">
        <v>46183</v>
      </c>
      <c r="C571" s="60">
        <v>10021747</v>
      </c>
      <c r="D571" s="30" t="s">
        <v>1548</v>
      </c>
      <c r="E571" s="30" t="s">
        <v>1548</v>
      </c>
      <c r="F571" s="65" t="s">
        <v>1421</v>
      </c>
      <c r="G571" s="77">
        <v>46211</v>
      </c>
      <c r="H571" s="15" t="s">
        <v>251</v>
      </c>
      <c r="I571" s="63"/>
      <c r="J571" s="15"/>
      <c r="K571" s="29">
        <v>45536</v>
      </c>
      <c r="L571" s="29">
        <v>45839</v>
      </c>
      <c r="M571" s="29" t="s">
        <v>211</v>
      </c>
      <c r="N571" s="29" t="s">
        <v>102</v>
      </c>
      <c r="O571" s="29" t="s">
        <v>24</v>
      </c>
      <c r="P571" s="29" t="s">
        <v>212</v>
      </c>
      <c r="Q571" s="32"/>
      <c r="R571" s="14" t="s">
        <v>1222</v>
      </c>
      <c r="S571" s="37"/>
      <c r="T571" s="38"/>
      <c r="U571" s="30"/>
      <c r="V571" s="39"/>
      <c r="W571" s="40"/>
      <c r="X571" s="39"/>
      <c r="Y571" s="41"/>
      <c r="Z571" s="9"/>
      <c r="AA571" s="9"/>
      <c r="AB571" s="9"/>
      <c r="AC571" s="7">
        <v>2559</v>
      </c>
      <c r="AD571" s="33"/>
      <c r="AE571" s="33"/>
      <c r="AF571" s="33"/>
      <c r="AG571" s="66"/>
      <c r="AH571" s="44"/>
      <c r="AI571" s="45"/>
      <c r="AJ571" s="36"/>
      <c r="AK571" s="36"/>
    </row>
    <row r="572" spans="1:37" x14ac:dyDescent="0.3">
      <c r="A572" s="31"/>
      <c r="B572" s="13">
        <v>46194</v>
      </c>
      <c r="C572" s="60">
        <v>10017775</v>
      </c>
      <c r="D572" s="30" t="s">
        <v>1592</v>
      </c>
      <c r="E572" s="30" t="s">
        <v>1593</v>
      </c>
      <c r="F572" s="65" t="s">
        <v>1569</v>
      </c>
      <c r="G572" s="77">
        <v>46211</v>
      </c>
      <c r="H572" s="15" t="s">
        <v>251</v>
      </c>
      <c r="I572" s="63"/>
      <c r="J572" s="15"/>
      <c r="K572" s="29">
        <v>44850</v>
      </c>
      <c r="L572" s="29">
        <v>45931</v>
      </c>
      <c r="M572" s="29" t="s">
        <v>219</v>
      </c>
      <c r="N572" s="29"/>
      <c r="O572" s="29" t="s">
        <v>24</v>
      </c>
      <c r="P572" s="29" t="s">
        <v>214</v>
      </c>
      <c r="Q572" s="32">
        <v>45658</v>
      </c>
      <c r="R572" s="14" t="s">
        <v>1222</v>
      </c>
      <c r="S572" s="37"/>
      <c r="T572" s="38"/>
      <c r="U572" s="30"/>
      <c r="V572" s="39"/>
      <c r="W572" s="40"/>
      <c r="X572" s="39"/>
      <c r="Y572" s="41"/>
      <c r="Z572" s="9"/>
      <c r="AA572" s="9"/>
      <c r="AB572" s="9"/>
      <c r="AC572" s="7">
        <v>82008</v>
      </c>
      <c r="AD572" s="33"/>
      <c r="AE572" s="33"/>
      <c r="AF572" s="33"/>
      <c r="AG572" s="66"/>
      <c r="AH572" s="44"/>
      <c r="AI572" s="45"/>
      <c r="AJ572" s="36"/>
      <c r="AK572" s="36"/>
    </row>
    <row r="573" spans="1:37" x14ac:dyDescent="0.3">
      <c r="A573" s="31"/>
      <c r="B573" s="13">
        <v>46183</v>
      </c>
      <c r="C573" s="60">
        <v>10427</v>
      </c>
      <c r="D573" s="30" t="s">
        <v>1469</v>
      </c>
      <c r="E573" s="30" t="s">
        <v>1426</v>
      </c>
      <c r="F573" s="65" t="s">
        <v>1343</v>
      </c>
      <c r="G573" s="77">
        <v>46212</v>
      </c>
      <c r="H573" s="15" t="s">
        <v>251</v>
      </c>
      <c r="I573" s="63"/>
      <c r="J573" s="15"/>
      <c r="K573" s="29">
        <v>43092</v>
      </c>
      <c r="L573" s="29">
        <v>45993</v>
      </c>
      <c r="M573" s="29" t="s">
        <v>219</v>
      </c>
      <c r="N573" s="29" t="s">
        <v>100</v>
      </c>
      <c r="O573" s="29" t="s">
        <v>24</v>
      </c>
      <c r="P573" s="29" t="s">
        <v>214</v>
      </c>
      <c r="Q573" s="32"/>
      <c r="R573" s="14" t="s">
        <v>1222</v>
      </c>
      <c r="S573" s="37"/>
      <c r="T573" s="38"/>
      <c r="U573" s="30"/>
      <c r="V573" s="39"/>
      <c r="W573" s="40"/>
      <c r="X573" s="39"/>
      <c r="Y573" s="41"/>
      <c r="Z573" s="9"/>
      <c r="AA573" s="9"/>
      <c r="AB573" s="9"/>
      <c r="AC573" s="7">
        <v>520383</v>
      </c>
      <c r="AD573" s="33"/>
      <c r="AE573" s="33"/>
      <c r="AF573" s="33"/>
      <c r="AG573" s="66"/>
      <c r="AH573" s="44"/>
      <c r="AI573" s="45"/>
      <c r="AJ573" s="36"/>
      <c r="AK573" s="36"/>
    </row>
    <row r="574" spans="1:37" x14ac:dyDescent="0.3">
      <c r="A574" s="31"/>
      <c r="B574" s="13">
        <v>46183</v>
      </c>
      <c r="C574" s="60">
        <v>13060</v>
      </c>
      <c r="D574" s="30" t="s">
        <v>1535</v>
      </c>
      <c r="E574" s="30" t="s">
        <v>1444</v>
      </c>
      <c r="F574" s="65" t="s">
        <v>1406</v>
      </c>
      <c r="G574" s="77">
        <v>46212</v>
      </c>
      <c r="H574" s="15" t="s">
        <v>251</v>
      </c>
      <c r="I574" s="63"/>
      <c r="J574" s="15"/>
      <c r="K574" s="29">
        <v>43717</v>
      </c>
      <c r="L574" s="29">
        <v>45962</v>
      </c>
      <c r="M574" s="29" t="s">
        <v>219</v>
      </c>
      <c r="N574" s="29" t="s">
        <v>123</v>
      </c>
      <c r="O574" s="29" t="s">
        <v>293</v>
      </c>
      <c r="P574" s="29" t="s">
        <v>214</v>
      </c>
      <c r="Q574" s="32">
        <v>44927</v>
      </c>
      <c r="R574" s="14" t="s">
        <v>1222</v>
      </c>
      <c r="S574" s="37"/>
      <c r="T574" s="38"/>
      <c r="U574" s="30"/>
      <c r="V574" s="39"/>
      <c r="W574" s="40"/>
      <c r="X574" s="39"/>
      <c r="Y574" s="41"/>
      <c r="Z574" s="9"/>
      <c r="AA574" s="9"/>
      <c r="AB574" s="9"/>
      <c r="AC574" s="7">
        <v>293976</v>
      </c>
      <c r="AD574" s="33"/>
      <c r="AE574" s="33"/>
      <c r="AF574" s="33"/>
      <c r="AG574" s="66"/>
      <c r="AH574" s="44"/>
      <c r="AI574" s="45"/>
      <c r="AJ574" s="36"/>
      <c r="AK574" s="36"/>
    </row>
    <row r="575" spans="1:37" x14ac:dyDescent="0.3">
      <c r="A575" s="31"/>
      <c r="B575" s="13">
        <v>46194</v>
      </c>
      <c r="C575" s="60">
        <v>10019918</v>
      </c>
      <c r="D575" s="30" t="s">
        <v>1594</v>
      </c>
      <c r="E575" s="30" t="s">
        <v>1594</v>
      </c>
      <c r="F575" s="65" t="s">
        <v>60</v>
      </c>
      <c r="G575" s="77">
        <v>46212</v>
      </c>
      <c r="H575" s="15" t="s">
        <v>251</v>
      </c>
      <c r="I575" s="63"/>
      <c r="J575" s="15"/>
      <c r="K575" s="29">
        <v>45248</v>
      </c>
      <c r="L575" s="29">
        <v>46007</v>
      </c>
      <c r="M575" s="29" t="s">
        <v>220</v>
      </c>
      <c r="N575" s="29"/>
      <c r="O575" s="29" t="s">
        <v>17</v>
      </c>
      <c r="P575" s="29" t="s">
        <v>221</v>
      </c>
      <c r="Q575" s="32"/>
      <c r="R575" s="14" t="s">
        <v>1222</v>
      </c>
      <c r="S575" s="37"/>
      <c r="T575" s="38"/>
      <c r="U575" s="30"/>
      <c r="V575" s="39"/>
      <c r="W575" s="40"/>
      <c r="X575" s="39"/>
      <c r="Y575" s="41"/>
      <c r="Z575" s="9"/>
      <c r="AA575" s="9"/>
      <c r="AB575" s="9"/>
      <c r="AC575" s="7">
        <v>46886</v>
      </c>
      <c r="AD575" s="33"/>
      <c r="AE575" s="33"/>
      <c r="AF575" s="33"/>
      <c r="AG575" s="66"/>
      <c r="AH575" s="44"/>
      <c r="AI575" s="45"/>
      <c r="AJ575" s="36"/>
      <c r="AK575" s="36"/>
    </row>
    <row r="576" spans="1:37" x14ac:dyDescent="0.3">
      <c r="A576" s="31"/>
      <c r="B576" s="13">
        <v>46194</v>
      </c>
      <c r="C576" s="60">
        <v>10024443</v>
      </c>
      <c r="D576" s="30" t="s">
        <v>1595</v>
      </c>
      <c r="E576" s="30" t="s">
        <v>1596</v>
      </c>
      <c r="F576" s="65" t="s">
        <v>1570</v>
      </c>
      <c r="G576" s="77">
        <v>46212</v>
      </c>
      <c r="H576" s="15" t="s">
        <v>251</v>
      </c>
      <c r="I576" s="63"/>
      <c r="J576" s="15"/>
      <c r="K576" s="29">
        <v>45870</v>
      </c>
      <c r="L576" s="29">
        <v>45939</v>
      </c>
      <c r="M576" s="29" t="s">
        <v>219</v>
      </c>
      <c r="N576" s="29"/>
      <c r="O576" s="29" t="s">
        <v>22</v>
      </c>
      <c r="P576" s="29" t="s">
        <v>214</v>
      </c>
      <c r="Q576" s="32"/>
      <c r="R576" s="14" t="s">
        <v>1222</v>
      </c>
      <c r="S576" s="37"/>
      <c r="T576" s="38"/>
      <c r="U576" s="30"/>
      <c r="V576" s="39"/>
      <c r="W576" s="40"/>
      <c r="X576" s="39"/>
      <c r="Y576" s="41"/>
      <c r="Z576" s="9"/>
      <c r="AA576" s="9"/>
      <c r="AB576" s="9"/>
      <c r="AC576" s="7">
        <v>23042</v>
      </c>
      <c r="AD576" s="33"/>
      <c r="AE576" s="33"/>
      <c r="AF576" s="33"/>
      <c r="AG576" s="66"/>
      <c r="AH576" s="44"/>
      <c r="AI576" s="45"/>
      <c r="AJ576" s="36"/>
      <c r="AK576" s="36"/>
    </row>
    <row r="577" spans="1:37" x14ac:dyDescent="0.3">
      <c r="A577" s="31"/>
      <c r="B577" s="13">
        <v>46183</v>
      </c>
      <c r="C577" s="60">
        <v>10024428</v>
      </c>
      <c r="D577" s="30" t="s">
        <v>1502</v>
      </c>
      <c r="E577" s="30" t="s">
        <v>1502</v>
      </c>
      <c r="F577" s="65" t="s">
        <v>1372</v>
      </c>
      <c r="G577" s="77">
        <v>46215</v>
      </c>
      <c r="H577" s="15" t="s">
        <v>251</v>
      </c>
      <c r="I577" s="63"/>
      <c r="J577" s="15"/>
      <c r="K577" s="29">
        <v>45906</v>
      </c>
      <c r="L577" s="29">
        <v>45953</v>
      </c>
      <c r="M577" s="29" t="s">
        <v>211</v>
      </c>
      <c r="N577" s="29" t="s">
        <v>189</v>
      </c>
      <c r="O577" s="29" t="s">
        <v>23</v>
      </c>
      <c r="P577" s="29" t="s">
        <v>212</v>
      </c>
      <c r="Q577" s="32"/>
      <c r="R577" s="14" t="s">
        <v>1222</v>
      </c>
      <c r="S577" s="37"/>
      <c r="T577" s="38"/>
      <c r="U577" s="30"/>
      <c r="V577" s="39"/>
      <c r="W577" s="40"/>
      <c r="X577" s="39"/>
      <c r="Y577" s="41"/>
      <c r="Z577" s="9"/>
      <c r="AA577" s="9"/>
      <c r="AB577" s="9"/>
      <c r="AC577" s="7">
        <v>20970</v>
      </c>
      <c r="AD577" s="33"/>
      <c r="AE577" s="33"/>
      <c r="AF577" s="33"/>
      <c r="AG577" s="66"/>
      <c r="AH577" s="44"/>
      <c r="AI577" s="45"/>
      <c r="AJ577" s="36"/>
      <c r="AK577" s="36"/>
    </row>
    <row r="578" spans="1:37" x14ac:dyDescent="0.3">
      <c r="A578" s="31"/>
      <c r="B578" s="13">
        <v>46183</v>
      </c>
      <c r="C578" s="60">
        <v>14048</v>
      </c>
      <c r="D578" s="30" t="s">
        <v>1550</v>
      </c>
      <c r="E578" s="30"/>
      <c r="F578" s="65" t="s">
        <v>1336</v>
      </c>
      <c r="G578" s="77">
        <v>46216</v>
      </c>
      <c r="H578" s="15" t="s">
        <v>251</v>
      </c>
      <c r="I578" s="63"/>
      <c r="J578" s="15"/>
      <c r="K578" s="29">
        <v>43911</v>
      </c>
      <c r="L578" s="29">
        <v>46022</v>
      </c>
      <c r="M578" s="29" t="s">
        <v>215</v>
      </c>
      <c r="N578" s="29" t="s">
        <v>178</v>
      </c>
      <c r="O578" s="29" t="s">
        <v>23</v>
      </c>
      <c r="P578" s="29" t="s">
        <v>223</v>
      </c>
      <c r="Q578" s="32"/>
      <c r="R578" s="14" t="s">
        <v>1222</v>
      </c>
      <c r="S578" s="37"/>
      <c r="T578" s="38"/>
      <c r="U578" s="30"/>
      <c r="V578" s="39"/>
      <c r="W578" s="40"/>
      <c r="X578" s="39"/>
      <c r="Y578" s="41"/>
      <c r="Z578" s="9"/>
      <c r="AA578" s="9"/>
      <c r="AB578" s="9"/>
      <c r="AC578" s="7">
        <v>648448</v>
      </c>
      <c r="AD578" s="33"/>
      <c r="AE578" s="33"/>
      <c r="AF578" s="33"/>
      <c r="AG578" s="66"/>
      <c r="AH578" s="44"/>
      <c r="AI578" s="45"/>
      <c r="AJ578" s="36"/>
      <c r="AK578" s="36"/>
    </row>
    <row r="579" spans="1:37" x14ac:dyDescent="0.3">
      <c r="A579" s="31"/>
      <c r="B579" s="13">
        <v>46183</v>
      </c>
      <c r="C579" s="60">
        <v>30017875</v>
      </c>
      <c r="D579" s="30" t="s">
        <v>1521</v>
      </c>
      <c r="E579" s="30" t="s">
        <v>1521</v>
      </c>
      <c r="F579" s="65" t="s">
        <v>1393</v>
      </c>
      <c r="G579" s="77">
        <v>46219</v>
      </c>
      <c r="H579" s="15" t="s">
        <v>251</v>
      </c>
      <c r="I579" s="63"/>
      <c r="J579" s="15"/>
      <c r="K579" s="29">
        <v>45886</v>
      </c>
      <c r="L579" s="29">
        <v>46043</v>
      </c>
      <c r="M579" s="29" t="s">
        <v>338</v>
      </c>
      <c r="N579" s="29" t="s">
        <v>162</v>
      </c>
      <c r="O579" s="29" t="s">
        <v>17</v>
      </c>
      <c r="P579" s="29" t="s">
        <v>221</v>
      </c>
      <c r="Q579" s="32"/>
      <c r="R579" s="14" t="s">
        <v>1222</v>
      </c>
      <c r="S579" s="37"/>
      <c r="T579" s="38"/>
      <c r="U579" s="30"/>
      <c r="V579" s="39"/>
      <c r="W579" s="40"/>
      <c r="X579" s="39"/>
      <c r="Y579" s="41"/>
      <c r="Z579" s="9"/>
      <c r="AA579" s="9"/>
      <c r="AB579" s="9"/>
      <c r="AC579" s="7">
        <v>11006</v>
      </c>
      <c r="AD579" s="33"/>
      <c r="AE579" s="33"/>
      <c r="AF579" s="33"/>
      <c r="AG579" s="66"/>
      <c r="AH579" s="44"/>
      <c r="AI579" s="45"/>
      <c r="AJ579" s="36"/>
      <c r="AK579" s="36"/>
    </row>
    <row r="580" spans="1:37" x14ac:dyDescent="0.3">
      <c r="A580" s="31"/>
      <c r="B580" s="13">
        <v>46194</v>
      </c>
      <c r="C580" s="60">
        <v>15993</v>
      </c>
      <c r="D580" s="30" t="s">
        <v>1591</v>
      </c>
      <c r="E580" s="30"/>
      <c r="F580" s="65" t="s">
        <v>1568</v>
      </c>
      <c r="G580" s="77">
        <v>46219</v>
      </c>
      <c r="H580" s="15" t="s">
        <v>251</v>
      </c>
      <c r="I580" s="63"/>
      <c r="J580" s="15"/>
      <c r="K580" s="29">
        <v>44470</v>
      </c>
      <c r="L580" s="29">
        <v>45911</v>
      </c>
      <c r="M580" s="29" t="s">
        <v>219</v>
      </c>
      <c r="N580" s="29"/>
      <c r="O580" s="29" t="s">
        <v>23</v>
      </c>
      <c r="P580" s="29" t="s">
        <v>214</v>
      </c>
      <c r="Q580" s="32">
        <v>45292</v>
      </c>
      <c r="R580" s="14" t="s">
        <v>1222</v>
      </c>
      <c r="S580" s="37"/>
      <c r="T580" s="38"/>
      <c r="U580" s="30"/>
      <c r="V580" s="39"/>
      <c r="W580" s="40"/>
      <c r="X580" s="39"/>
      <c r="Y580" s="41"/>
      <c r="Z580" s="9"/>
      <c r="AA580" s="9"/>
      <c r="AB580" s="9"/>
      <c r="AC580" s="7">
        <v>119938</v>
      </c>
      <c r="AD580" s="33"/>
      <c r="AE580" s="33"/>
      <c r="AF580" s="33"/>
      <c r="AG580" s="66"/>
      <c r="AH580" s="44"/>
      <c r="AI580" s="45"/>
      <c r="AJ580" s="36"/>
      <c r="AK580" s="36"/>
    </row>
    <row r="581" spans="1:37" x14ac:dyDescent="0.3">
      <c r="A581" s="43"/>
      <c r="B581" s="13">
        <v>46127</v>
      </c>
      <c r="C581" s="60">
        <v>10022229</v>
      </c>
      <c r="D581" s="30" t="s">
        <v>1115</v>
      </c>
      <c r="E581" s="30" t="s">
        <v>1115</v>
      </c>
      <c r="F581" s="65" t="s">
        <v>962</v>
      </c>
      <c r="G581" s="68">
        <v>46223</v>
      </c>
      <c r="H581" s="15" t="s">
        <v>251</v>
      </c>
      <c r="I581" s="15"/>
      <c r="J581" s="15" t="e">
        <v>#N/A</v>
      </c>
      <c r="K581" s="29">
        <v>45596</v>
      </c>
      <c r="L581" s="29">
        <v>45931</v>
      </c>
      <c r="M581" s="29" t="s">
        <v>211</v>
      </c>
      <c r="N581" s="29" t="s">
        <v>138</v>
      </c>
      <c r="O581" s="29" t="s">
        <v>23</v>
      </c>
      <c r="P581" s="29" t="s">
        <v>212</v>
      </c>
      <c r="Q581" s="32"/>
      <c r="R581" s="14" t="s">
        <v>1222</v>
      </c>
      <c r="S581" s="37"/>
      <c r="T581" s="38"/>
      <c r="U581" s="30"/>
      <c r="V581" s="39"/>
      <c r="W581" s="40"/>
      <c r="X581" s="39"/>
      <c r="Y581" s="41"/>
      <c r="Z581" s="9"/>
      <c r="AA581" s="9"/>
      <c r="AB581" s="9"/>
      <c r="AC581" s="7">
        <v>5029</v>
      </c>
      <c r="AD581" s="33"/>
      <c r="AE581" s="33"/>
      <c r="AF581" s="33"/>
      <c r="AG581" s="66">
        <v>46310</v>
      </c>
      <c r="AH581" s="44"/>
      <c r="AI581" s="45"/>
      <c r="AJ581" s="36"/>
      <c r="AK581" s="36"/>
    </row>
    <row r="582" spans="1:37" x14ac:dyDescent="0.3">
      <c r="A582" s="43"/>
      <c r="B582" s="13"/>
      <c r="C582" s="60">
        <v>10023933</v>
      </c>
      <c r="D582" s="30"/>
      <c r="E582" s="30"/>
      <c r="F582" s="65" t="s">
        <v>1611</v>
      </c>
      <c r="G582" s="68">
        <v>46224</v>
      </c>
      <c r="H582" s="15" t="s">
        <v>251</v>
      </c>
      <c r="I582" s="15"/>
      <c r="J582" s="15"/>
      <c r="K582" s="29"/>
      <c r="L582" s="29"/>
      <c r="M582" s="29"/>
      <c r="N582" s="29"/>
      <c r="O582" s="29"/>
      <c r="P582" s="29"/>
      <c r="Q582" s="32"/>
      <c r="R582" s="14"/>
      <c r="S582" s="37"/>
      <c r="T582" s="38"/>
      <c r="U582" s="30"/>
      <c r="V582" s="39"/>
      <c r="W582" s="40"/>
      <c r="X582" s="39"/>
      <c r="Y582" s="41"/>
      <c r="Z582" s="9"/>
      <c r="AA582" s="9"/>
      <c r="AB582" s="9"/>
      <c r="AC582" s="7"/>
      <c r="AD582" s="33"/>
      <c r="AE582" s="33"/>
      <c r="AF582" s="33"/>
      <c r="AG582" s="66"/>
      <c r="AH582" s="44"/>
      <c r="AI582" s="45"/>
      <c r="AJ582" s="36"/>
      <c r="AK582" s="36"/>
    </row>
    <row r="583" spans="1:37" x14ac:dyDescent="0.3">
      <c r="A583" s="31"/>
      <c r="B583" s="13">
        <v>46219</v>
      </c>
      <c r="C583" s="70">
        <v>4462</v>
      </c>
      <c r="D583" s="73" t="s">
        <v>1796</v>
      </c>
      <c r="E583" s="30"/>
      <c r="F583" s="65" t="s">
        <v>310</v>
      </c>
      <c r="G583" s="77">
        <v>46226</v>
      </c>
      <c r="H583" s="15" t="s">
        <v>251</v>
      </c>
      <c r="I583" s="63"/>
      <c r="J583" s="15"/>
      <c r="K583" s="29">
        <v>40966</v>
      </c>
      <c r="L583" s="29">
        <v>45992</v>
      </c>
      <c r="M583" s="29" t="s">
        <v>231</v>
      </c>
      <c r="N583" s="29" t="s">
        <v>150</v>
      </c>
      <c r="O583" s="29" t="s">
        <v>17</v>
      </c>
      <c r="P583" s="29" t="s">
        <v>214</v>
      </c>
      <c r="Q583" s="32">
        <v>44562</v>
      </c>
      <c r="R583" s="14" t="s">
        <v>1222</v>
      </c>
      <c r="S583" s="37"/>
      <c r="T583" s="38"/>
      <c r="U583" s="30"/>
      <c r="V583" s="39"/>
      <c r="W583" s="40"/>
      <c r="X583" s="39"/>
      <c r="Y583" s="41"/>
      <c r="Z583" s="9"/>
      <c r="AA583" s="9"/>
      <c r="AB583" s="9"/>
      <c r="AC583" s="7">
        <v>843663</v>
      </c>
      <c r="AD583" s="33"/>
      <c r="AE583" s="33"/>
      <c r="AF583" s="33"/>
      <c r="AG583" s="66"/>
      <c r="AH583" s="44"/>
      <c r="AI583" s="45"/>
      <c r="AJ583" s="36"/>
      <c r="AK583" s="36"/>
    </row>
    <row r="584" spans="1:37" x14ac:dyDescent="0.3">
      <c r="A584" s="31"/>
      <c r="B584" s="13">
        <v>46223</v>
      </c>
      <c r="C584" s="70">
        <v>10019355</v>
      </c>
      <c r="D584" s="30" t="s">
        <v>1726</v>
      </c>
      <c r="E584" s="30" t="s">
        <v>1726</v>
      </c>
      <c r="F584" s="65" t="s">
        <v>1692</v>
      </c>
      <c r="G584" s="77">
        <v>46226</v>
      </c>
      <c r="H584" s="15" t="s">
        <v>251</v>
      </c>
      <c r="I584" s="63"/>
      <c r="J584" s="15"/>
      <c r="K584" s="29">
        <v>45147</v>
      </c>
      <c r="L584" s="29">
        <v>46057</v>
      </c>
      <c r="M584" s="29" t="s">
        <v>219</v>
      </c>
      <c r="N584" s="29" t="s">
        <v>126</v>
      </c>
      <c r="O584" s="29" t="s">
        <v>23</v>
      </c>
      <c r="P584" s="29" t="s">
        <v>214</v>
      </c>
      <c r="Q584" s="32">
        <v>46023</v>
      </c>
      <c r="R584" s="14" t="s">
        <v>1222</v>
      </c>
      <c r="S584" s="37"/>
      <c r="T584" s="38"/>
      <c r="U584" s="30"/>
      <c r="V584" s="39"/>
      <c r="W584" s="40"/>
      <c r="X584" s="39"/>
      <c r="Y584" s="41"/>
      <c r="Z584" s="9"/>
      <c r="AA584" s="9"/>
      <c r="AB584" s="9"/>
      <c r="AC584" s="7">
        <v>55120</v>
      </c>
      <c r="AD584" s="33"/>
      <c r="AE584" s="33"/>
      <c r="AF584" s="33"/>
      <c r="AG584" s="66"/>
      <c r="AH584" s="44"/>
      <c r="AI584" s="45"/>
      <c r="AJ584" s="36"/>
      <c r="AK584" s="36"/>
    </row>
    <row r="585" spans="1:37" x14ac:dyDescent="0.3">
      <c r="A585" s="31"/>
      <c r="B585" s="13">
        <v>46183</v>
      </c>
      <c r="C585" s="60">
        <v>9607</v>
      </c>
      <c r="D585" s="30" t="s">
        <v>1446</v>
      </c>
      <c r="E585" s="30" t="s">
        <v>1543</v>
      </c>
      <c r="F585" s="65" t="s">
        <v>1416</v>
      </c>
      <c r="G585" s="77">
        <v>46231</v>
      </c>
      <c r="H585" s="15" t="s">
        <v>251</v>
      </c>
      <c r="I585" s="63"/>
      <c r="J585" s="15" t="s">
        <v>1306</v>
      </c>
      <c r="K585" s="29">
        <v>42845</v>
      </c>
      <c r="L585" s="29">
        <v>46023</v>
      </c>
      <c r="M585" s="29" t="s">
        <v>219</v>
      </c>
      <c r="N585" s="29" t="s">
        <v>1207</v>
      </c>
      <c r="O585" s="29" t="s">
        <v>25</v>
      </c>
      <c r="P585" s="29" t="s">
        <v>214</v>
      </c>
      <c r="Q585" s="32"/>
      <c r="R585" s="14" t="s">
        <v>1222</v>
      </c>
      <c r="S585" s="37"/>
      <c r="T585" s="38"/>
      <c r="U585" s="30"/>
      <c r="V585" s="39"/>
      <c r="W585" s="40"/>
      <c r="X585" s="39"/>
      <c r="Y585" s="41"/>
      <c r="Z585" s="9"/>
      <c r="AA585" s="9"/>
      <c r="AB585" s="9"/>
      <c r="AC585" s="7">
        <v>371435</v>
      </c>
      <c r="AD585" s="33"/>
      <c r="AE585" s="33"/>
      <c r="AF585" s="33"/>
      <c r="AG585" s="66"/>
      <c r="AH585" s="44"/>
      <c r="AI585" s="45"/>
      <c r="AJ585" s="36"/>
      <c r="AK585" s="36"/>
    </row>
    <row r="586" spans="1:37" x14ac:dyDescent="0.3">
      <c r="A586" s="31"/>
      <c r="B586" s="13">
        <v>46194</v>
      </c>
      <c r="C586" s="60">
        <v>10023752</v>
      </c>
      <c r="D586" s="30" t="s">
        <v>1606</v>
      </c>
      <c r="E586" s="30" t="s">
        <v>1606</v>
      </c>
      <c r="F586" s="65" t="s">
        <v>1575</v>
      </c>
      <c r="G586" s="77">
        <v>46231</v>
      </c>
      <c r="H586" s="15" t="s">
        <v>251</v>
      </c>
      <c r="I586" s="63"/>
      <c r="J586" s="15" t="s">
        <v>1861</v>
      </c>
      <c r="K586" s="29">
        <v>45778</v>
      </c>
      <c r="L586" s="29">
        <v>45870</v>
      </c>
      <c r="M586" s="29" t="s">
        <v>228</v>
      </c>
      <c r="N586" s="29"/>
      <c r="O586" s="29" t="s">
        <v>40</v>
      </c>
      <c r="P586" s="29" t="s">
        <v>221</v>
      </c>
      <c r="Q586" s="32"/>
      <c r="R586" s="14" t="s">
        <v>1222</v>
      </c>
      <c r="S586" s="37"/>
      <c r="T586" s="38"/>
      <c r="U586" s="30"/>
      <c r="V586" s="39"/>
      <c r="W586" s="40"/>
      <c r="X586" s="39"/>
      <c r="Y586" s="41"/>
      <c r="Z586" s="9"/>
      <c r="AA586" s="9"/>
      <c r="AB586" s="9"/>
      <c r="AC586" s="7">
        <v>3769</v>
      </c>
      <c r="AD586" s="33"/>
      <c r="AE586" s="33"/>
      <c r="AF586" s="33"/>
      <c r="AG586" s="66"/>
      <c r="AH586" s="44"/>
      <c r="AI586" s="45"/>
      <c r="AJ586" s="36"/>
      <c r="AK586" s="36"/>
    </row>
    <row r="587" spans="1:37" x14ac:dyDescent="0.3">
      <c r="A587" s="31"/>
      <c r="B587" s="13">
        <v>46194</v>
      </c>
      <c r="C587" s="60">
        <v>30016986</v>
      </c>
      <c r="D587" s="30"/>
      <c r="E587" s="30" t="s">
        <v>1609</v>
      </c>
      <c r="F587" s="65" t="s">
        <v>1578</v>
      </c>
      <c r="G587" s="77">
        <v>46231</v>
      </c>
      <c r="H587" s="15" t="s">
        <v>251</v>
      </c>
      <c r="I587" s="63"/>
      <c r="J587" s="15"/>
      <c r="K587" s="29">
        <v>45414</v>
      </c>
      <c r="L587" s="29">
        <v>45997</v>
      </c>
      <c r="M587" s="29" t="s">
        <v>330</v>
      </c>
      <c r="N587" s="29"/>
      <c r="O587" s="29" t="s">
        <v>17</v>
      </c>
      <c r="P587" s="29" t="s">
        <v>227</v>
      </c>
      <c r="Q587" s="32"/>
      <c r="R587" s="14" t="s">
        <v>1222</v>
      </c>
      <c r="S587" s="37"/>
      <c r="T587" s="38"/>
      <c r="U587" s="30"/>
      <c r="V587" s="39"/>
      <c r="W587" s="40"/>
      <c r="X587" s="39"/>
      <c r="Y587" s="41"/>
      <c r="Z587" s="9"/>
      <c r="AA587" s="9"/>
      <c r="AB587" s="9"/>
      <c r="AC587" s="7">
        <v>4771</v>
      </c>
      <c r="AD587" s="33"/>
      <c r="AE587" s="33"/>
      <c r="AF587" s="33"/>
      <c r="AG587" s="66"/>
      <c r="AH587" s="44"/>
      <c r="AI587" s="45"/>
      <c r="AJ587" s="36"/>
      <c r="AK587" s="36"/>
    </row>
    <row r="588" spans="1:37" x14ac:dyDescent="0.3">
      <c r="A588" s="31"/>
      <c r="B588" s="13">
        <v>46183</v>
      </c>
      <c r="C588" s="60">
        <v>10020788</v>
      </c>
      <c r="D588" s="30" t="s">
        <v>1537</v>
      </c>
      <c r="E588" s="30" t="s">
        <v>1537</v>
      </c>
      <c r="F588" s="65" t="s">
        <v>1409</v>
      </c>
      <c r="G588" s="77">
        <v>46231</v>
      </c>
      <c r="H588" s="15" t="s">
        <v>251</v>
      </c>
      <c r="I588" s="63"/>
      <c r="J588" s="15" t="s">
        <v>1862</v>
      </c>
      <c r="K588" s="29">
        <v>45365</v>
      </c>
      <c r="L588" s="29">
        <v>46023</v>
      </c>
      <c r="M588" s="29" t="s">
        <v>219</v>
      </c>
      <c r="N588" s="29" t="s">
        <v>124</v>
      </c>
      <c r="O588" s="29" t="s">
        <v>23</v>
      </c>
      <c r="P588" s="29" t="s">
        <v>214</v>
      </c>
      <c r="Q588" s="32"/>
      <c r="R588" s="14" t="s">
        <v>1222</v>
      </c>
      <c r="S588" s="37"/>
      <c r="T588" s="38"/>
      <c r="U588" s="30"/>
      <c r="V588" s="39"/>
      <c r="W588" s="40"/>
      <c r="X588" s="39"/>
      <c r="Y588" s="41"/>
      <c r="Z588" s="9"/>
      <c r="AA588" s="9"/>
      <c r="AB588" s="9"/>
      <c r="AC588" s="7">
        <v>16422</v>
      </c>
      <c r="AD588" s="33"/>
      <c r="AE588" s="33"/>
      <c r="AF588" s="33"/>
      <c r="AG588" s="66"/>
      <c r="AH588" s="44"/>
      <c r="AI588" s="45"/>
      <c r="AJ588" s="36"/>
      <c r="AK588" s="36"/>
    </row>
    <row r="589" spans="1:37" x14ac:dyDescent="0.3">
      <c r="A589" s="31"/>
      <c r="B589" s="13">
        <v>46216</v>
      </c>
      <c r="C589" s="70">
        <v>7750</v>
      </c>
      <c r="D589" s="61" t="s">
        <v>1729</v>
      </c>
      <c r="E589" s="30" t="s">
        <v>1799</v>
      </c>
      <c r="F589" s="65" t="s">
        <v>1614</v>
      </c>
      <c r="G589" s="77">
        <v>46231</v>
      </c>
      <c r="H589" s="15" t="s">
        <v>251</v>
      </c>
      <c r="I589" s="63" t="s">
        <v>683</v>
      </c>
      <c r="J589" s="15"/>
      <c r="K589" s="29">
        <v>42337</v>
      </c>
      <c r="L589" s="29">
        <v>46054</v>
      </c>
      <c r="M589" s="29" t="s">
        <v>219</v>
      </c>
      <c r="N589" s="29" t="s">
        <v>98</v>
      </c>
      <c r="O589" s="29" t="s">
        <v>23</v>
      </c>
      <c r="P589" s="29" t="s">
        <v>214</v>
      </c>
      <c r="Q589" s="32"/>
      <c r="R589" s="14" t="s">
        <v>1222</v>
      </c>
      <c r="S589" s="37"/>
      <c r="T589" s="38"/>
      <c r="U589" s="30"/>
      <c r="V589" s="39"/>
      <c r="W589" s="40"/>
      <c r="X589" s="39"/>
      <c r="Y589" s="41"/>
      <c r="Z589" s="9"/>
      <c r="AA589" s="9"/>
      <c r="AB589" s="9"/>
      <c r="AC589" s="7">
        <v>493251</v>
      </c>
      <c r="AD589" s="33"/>
      <c r="AE589" s="33"/>
      <c r="AF589" s="33"/>
      <c r="AG589" s="66"/>
      <c r="AH589" s="44"/>
      <c r="AI589" s="45"/>
      <c r="AJ589" s="36"/>
      <c r="AK589" s="36"/>
    </row>
    <row r="590" spans="1:37" x14ac:dyDescent="0.3">
      <c r="A590" s="31"/>
      <c r="B590" s="13">
        <v>46216</v>
      </c>
      <c r="C590" s="70">
        <v>13729</v>
      </c>
      <c r="D590" s="61" t="s">
        <v>1735</v>
      </c>
      <c r="E590" s="30" t="s">
        <v>1818</v>
      </c>
      <c r="F590" s="65" t="s">
        <v>1620</v>
      </c>
      <c r="G590" s="77">
        <v>46231</v>
      </c>
      <c r="H590" s="15" t="s">
        <v>251</v>
      </c>
      <c r="I590" s="63" t="s">
        <v>683</v>
      </c>
      <c r="J590" s="15"/>
      <c r="K590" s="29">
        <v>43870</v>
      </c>
      <c r="L590" s="29">
        <v>46022</v>
      </c>
      <c r="M590" s="29" t="s">
        <v>219</v>
      </c>
      <c r="N590" s="29" t="s">
        <v>97</v>
      </c>
      <c r="O590" s="29" t="s">
        <v>23</v>
      </c>
      <c r="P590" s="29" t="s">
        <v>214</v>
      </c>
      <c r="Q590" s="32"/>
      <c r="R590" s="14" t="s">
        <v>1222</v>
      </c>
      <c r="S590" s="37"/>
      <c r="T590" s="38"/>
      <c r="U590" s="30"/>
      <c r="V590" s="39"/>
      <c r="W590" s="40"/>
      <c r="X590" s="39"/>
      <c r="Y590" s="41"/>
      <c r="Z590" s="9"/>
      <c r="AA590" s="9"/>
      <c r="AB590" s="9"/>
      <c r="AC590" s="7">
        <v>365737</v>
      </c>
      <c r="AD590" s="33"/>
      <c r="AE590" s="33"/>
      <c r="AF590" s="33"/>
      <c r="AG590" s="66"/>
      <c r="AH590" s="44"/>
      <c r="AI590" s="45"/>
      <c r="AJ590" s="36"/>
      <c r="AK590" s="36"/>
    </row>
    <row r="591" spans="1:37" x14ac:dyDescent="0.3">
      <c r="A591" s="31"/>
      <c r="B591" s="13">
        <v>46216</v>
      </c>
      <c r="C591" s="70">
        <v>10018377</v>
      </c>
      <c r="D591" s="61" t="s">
        <v>1708</v>
      </c>
      <c r="E591" s="30" t="s">
        <v>1708</v>
      </c>
      <c r="F591" s="65" t="s">
        <v>1622</v>
      </c>
      <c r="G591" s="77">
        <v>46231</v>
      </c>
      <c r="H591" s="15" t="s">
        <v>251</v>
      </c>
      <c r="I591" s="63" t="s">
        <v>683</v>
      </c>
      <c r="J591" s="15"/>
      <c r="K591" s="29">
        <v>44989</v>
      </c>
      <c r="L591" s="29">
        <v>46023</v>
      </c>
      <c r="M591" s="29" t="s">
        <v>219</v>
      </c>
      <c r="N591" s="29" t="s">
        <v>185</v>
      </c>
      <c r="O591" s="29" t="s">
        <v>24</v>
      </c>
      <c r="P591" s="29" t="s">
        <v>214</v>
      </c>
      <c r="Q591" s="32"/>
      <c r="R591" s="14" t="s">
        <v>1222</v>
      </c>
      <c r="S591" s="37"/>
      <c r="T591" s="38"/>
      <c r="U591" s="30"/>
      <c r="V591" s="39"/>
      <c r="W591" s="40"/>
      <c r="X591" s="39"/>
      <c r="Y591" s="41"/>
      <c r="Z591" s="9"/>
      <c r="AA591" s="9"/>
      <c r="AB591" s="9"/>
      <c r="AC591" s="7">
        <v>65052</v>
      </c>
      <c r="AD591" s="33"/>
      <c r="AE591" s="33"/>
      <c r="AF591" s="33"/>
      <c r="AG591" s="66"/>
      <c r="AH591" s="44"/>
      <c r="AI591" s="45"/>
      <c r="AJ591" s="36"/>
      <c r="AK591" s="36"/>
    </row>
    <row r="592" spans="1:37" x14ac:dyDescent="0.3">
      <c r="A592" s="31"/>
      <c r="B592" s="13">
        <v>46216</v>
      </c>
      <c r="C592" s="70">
        <v>10021405</v>
      </c>
      <c r="D592" s="61" t="s">
        <v>1724</v>
      </c>
      <c r="E592" s="30" t="s">
        <v>1724</v>
      </c>
      <c r="F592" s="65" t="s">
        <v>1666</v>
      </c>
      <c r="G592" s="77">
        <v>46231</v>
      </c>
      <c r="H592" s="15" t="s">
        <v>251</v>
      </c>
      <c r="I592" s="63"/>
      <c r="J592" s="15"/>
      <c r="K592" s="29">
        <v>45479</v>
      </c>
      <c r="L592" s="29">
        <v>45778</v>
      </c>
      <c r="M592" s="29" t="s">
        <v>211</v>
      </c>
      <c r="N592" s="29" t="s">
        <v>164</v>
      </c>
      <c r="O592" s="29" t="s">
        <v>23</v>
      </c>
      <c r="P592" s="29" t="s">
        <v>212</v>
      </c>
      <c r="Q592" s="32"/>
      <c r="R592" s="14" t="s">
        <v>1222</v>
      </c>
      <c r="S592" s="37"/>
      <c r="T592" s="38"/>
      <c r="U592" s="30"/>
      <c r="V592" s="39"/>
      <c r="W592" s="40"/>
      <c r="X592" s="39"/>
      <c r="Y592" s="41"/>
      <c r="Z592" s="9"/>
      <c r="AA592" s="9"/>
      <c r="AB592" s="9"/>
      <c r="AC592" s="7">
        <v>28895</v>
      </c>
      <c r="AD592" s="33"/>
      <c r="AE592" s="33"/>
      <c r="AF592" s="33"/>
      <c r="AG592" s="66"/>
      <c r="AH592" s="44"/>
      <c r="AI592" s="45"/>
      <c r="AJ592" s="36"/>
      <c r="AK592" s="36"/>
    </row>
    <row r="593" spans="1:37" x14ac:dyDescent="0.3">
      <c r="A593" s="31"/>
      <c r="B593" s="13">
        <v>46216</v>
      </c>
      <c r="C593" s="70">
        <v>10021229</v>
      </c>
      <c r="D593" s="61" t="s">
        <v>1781</v>
      </c>
      <c r="E593" s="30" t="s">
        <v>1815</v>
      </c>
      <c r="F593" s="65" t="s">
        <v>1677</v>
      </c>
      <c r="G593" s="77">
        <v>46231</v>
      </c>
      <c r="H593" s="15" t="s">
        <v>251</v>
      </c>
      <c r="I593" s="63"/>
      <c r="J593" s="15"/>
      <c r="K593" s="29">
        <v>45444</v>
      </c>
      <c r="L593" s="29">
        <v>45870</v>
      </c>
      <c r="M593" s="29" t="s">
        <v>226</v>
      </c>
      <c r="N593" s="29" t="s">
        <v>165</v>
      </c>
      <c r="O593" s="29" t="s">
        <v>17</v>
      </c>
      <c r="P593" s="29" t="s">
        <v>221</v>
      </c>
      <c r="Q593" s="32"/>
      <c r="R593" s="14" t="s">
        <v>1222</v>
      </c>
      <c r="S593" s="37"/>
      <c r="T593" s="38"/>
      <c r="U593" s="30"/>
      <c r="V593" s="39"/>
      <c r="W593" s="40"/>
      <c r="X593" s="39"/>
      <c r="Y593" s="41"/>
      <c r="Z593" s="9"/>
      <c r="AA593" s="9"/>
      <c r="AB593" s="9"/>
      <c r="AC593" s="7">
        <v>25113</v>
      </c>
      <c r="AD593" s="33"/>
      <c r="AE593" s="33"/>
      <c r="AF593" s="33"/>
      <c r="AG593" s="66"/>
      <c r="AH593" s="44"/>
      <c r="AI593" s="45"/>
      <c r="AJ593" s="36"/>
      <c r="AK593" s="36"/>
    </row>
    <row r="594" spans="1:37" x14ac:dyDescent="0.3">
      <c r="B594" s="13">
        <v>46127</v>
      </c>
      <c r="C594" s="60">
        <v>10017347</v>
      </c>
      <c r="D594" s="30" t="s">
        <v>1847</v>
      </c>
      <c r="E594" s="30" t="s">
        <v>1131</v>
      </c>
      <c r="F594" s="65" t="s">
        <v>333</v>
      </c>
      <c r="G594" s="68">
        <v>46232</v>
      </c>
      <c r="H594" s="15" t="s">
        <v>251</v>
      </c>
      <c r="I594" s="15"/>
      <c r="J594" s="15" t="e">
        <v>#N/A</v>
      </c>
      <c r="K594" s="29">
        <v>44777</v>
      </c>
      <c r="L594" s="29">
        <v>45778</v>
      </c>
      <c r="M594" s="29" t="s">
        <v>219</v>
      </c>
      <c r="N594" s="29" t="s">
        <v>138</v>
      </c>
      <c r="O594" s="29" t="s">
        <v>23</v>
      </c>
      <c r="P594" s="29" t="s">
        <v>214</v>
      </c>
      <c r="Q594" s="32">
        <v>45292</v>
      </c>
      <c r="R594" s="14" t="s">
        <v>1222</v>
      </c>
      <c r="S594" s="37"/>
      <c r="T594" s="38"/>
      <c r="U594" s="30"/>
      <c r="V594" s="39"/>
      <c r="W594" s="40"/>
      <c r="X594" s="39"/>
      <c r="Y594" s="41"/>
      <c r="Z594" s="9"/>
      <c r="AA594" s="9"/>
      <c r="AB594" s="9"/>
      <c r="AC594" s="7">
        <v>119816</v>
      </c>
      <c r="AD594" s="33"/>
      <c r="AE594" s="33"/>
      <c r="AF594" s="33"/>
      <c r="AG594" s="66">
        <v>46310</v>
      </c>
    </row>
    <row r="595" spans="1:37" x14ac:dyDescent="0.3">
      <c r="B595" s="13">
        <v>46183</v>
      </c>
      <c r="C595" s="60">
        <v>10023273</v>
      </c>
      <c r="D595" s="30" t="s">
        <v>1536</v>
      </c>
      <c r="E595" s="30" t="s">
        <v>1536</v>
      </c>
      <c r="F595" s="65" t="s">
        <v>1408</v>
      </c>
      <c r="G595" s="68">
        <v>46232</v>
      </c>
      <c r="H595" s="15" t="s">
        <v>251</v>
      </c>
      <c r="I595" s="63"/>
      <c r="J595" s="15"/>
      <c r="K595" s="29">
        <v>45719</v>
      </c>
      <c r="L595" s="29">
        <v>46093</v>
      </c>
      <c r="M595" s="29" t="s">
        <v>224</v>
      </c>
      <c r="N595" s="29" t="s">
        <v>661</v>
      </c>
      <c r="O595" s="29" t="s">
        <v>31</v>
      </c>
      <c r="P595" s="29" t="s">
        <v>217</v>
      </c>
      <c r="Q595" s="32"/>
      <c r="R595" s="14" t="s">
        <v>1222</v>
      </c>
      <c r="S595" s="37"/>
      <c r="T595" s="38"/>
      <c r="U595" s="30"/>
      <c r="V595" s="39"/>
      <c r="W595" s="40"/>
      <c r="X595" s="39"/>
      <c r="Y595" s="41"/>
      <c r="Z595" s="9"/>
      <c r="AA595" s="9"/>
      <c r="AB595" s="9"/>
      <c r="AC595" s="7">
        <v>11775</v>
      </c>
      <c r="AD595" s="33"/>
      <c r="AE595" s="33"/>
      <c r="AF595" s="33"/>
      <c r="AG595" s="66"/>
    </row>
    <row r="596" spans="1:37" x14ac:dyDescent="0.3">
      <c r="B596" s="13">
        <v>46183</v>
      </c>
      <c r="C596" s="60">
        <v>10023803</v>
      </c>
      <c r="D596" s="30" t="s">
        <v>1445</v>
      </c>
      <c r="E596" s="30" t="s">
        <v>1445</v>
      </c>
      <c r="F596" s="65" t="s">
        <v>1414</v>
      </c>
      <c r="G596" s="68">
        <v>46232</v>
      </c>
      <c r="H596" s="15" t="s">
        <v>251</v>
      </c>
      <c r="I596" s="63"/>
      <c r="J596" s="15"/>
      <c r="K596" s="29">
        <v>45778</v>
      </c>
      <c r="L596" s="29">
        <v>45992</v>
      </c>
      <c r="M596" s="29" t="s">
        <v>312</v>
      </c>
      <c r="N596" s="29" t="s">
        <v>113</v>
      </c>
      <c r="O596" s="29" t="s">
        <v>17</v>
      </c>
      <c r="P596" s="29" t="s">
        <v>221</v>
      </c>
      <c r="Q596" s="32"/>
      <c r="R596" s="14" t="s">
        <v>1222</v>
      </c>
      <c r="S596" s="37"/>
      <c r="T596" s="38"/>
      <c r="U596" s="30"/>
      <c r="V596" s="39"/>
      <c r="W596" s="40"/>
      <c r="X596" s="39"/>
      <c r="Y596" s="41"/>
      <c r="Z596" s="9"/>
      <c r="AA596" s="9"/>
      <c r="AB596" s="9"/>
      <c r="AC596" s="7">
        <v>10145</v>
      </c>
      <c r="AD596" s="33"/>
      <c r="AE596" s="33"/>
      <c r="AF596" s="33"/>
      <c r="AG596" s="66"/>
    </row>
    <row r="597" spans="1:37" x14ac:dyDescent="0.3">
      <c r="B597" s="13">
        <v>46194</v>
      </c>
      <c r="C597" s="60">
        <v>10017792</v>
      </c>
      <c r="D597" s="30" t="s">
        <v>1601</v>
      </c>
      <c r="E597" s="30" t="s">
        <v>1601</v>
      </c>
      <c r="F597" s="65" t="s">
        <v>1572</v>
      </c>
      <c r="G597" s="68">
        <v>46232</v>
      </c>
      <c r="H597" s="15" t="s">
        <v>251</v>
      </c>
      <c r="I597" s="63"/>
      <c r="J597" s="15"/>
      <c r="K597" s="29">
        <v>44842</v>
      </c>
      <c r="L597" s="29">
        <v>45966</v>
      </c>
      <c r="M597" s="29" t="s">
        <v>220</v>
      </c>
      <c r="N597" s="29"/>
      <c r="O597" s="29" t="s">
        <v>17</v>
      </c>
      <c r="P597" s="29" t="s">
        <v>221</v>
      </c>
      <c r="Q597" s="32"/>
      <c r="R597" s="14" t="s">
        <v>1222</v>
      </c>
      <c r="S597" s="37"/>
      <c r="T597" s="38"/>
      <c r="U597" s="30"/>
      <c r="V597" s="39"/>
      <c r="W597" s="40"/>
      <c r="X597" s="39"/>
      <c r="Y597" s="41"/>
      <c r="Z597" s="9"/>
      <c r="AA597" s="9"/>
      <c r="AB597" s="9"/>
      <c r="AC597" s="7">
        <v>50046</v>
      </c>
      <c r="AD597" s="33"/>
      <c r="AE597" s="33"/>
      <c r="AF597" s="33"/>
      <c r="AG597" s="66"/>
    </row>
    <row r="598" spans="1:37" x14ac:dyDescent="0.3">
      <c r="B598" s="13">
        <v>46216</v>
      </c>
      <c r="C598" s="70">
        <v>8546</v>
      </c>
      <c r="D598" s="61" t="s">
        <v>1736</v>
      </c>
      <c r="E598" s="30"/>
      <c r="F598" s="65" t="s">
        <v>62</v>
      </c>
      <c r="G598" s="68">
        <v>46232</v>
      </c>
      <c r="H598" s="15" t="s">
        <v>251</v>
      </c>
      <c r="I598" s="63" t="s">
        <v>683</v>
      </c>
      <c r="J598" s="15"/>
      <c r="K598" s="29">
        <v>42586</v>
      </c>
      <c r="L598" s="29">
        <v>46054</v>
      </c>
      <c r="M598" s="29" t="s">
        <v>1458</v>
      </c>
      <c r="N598" s="29" t="s">
        <v>125</v>
      </c>
      <c r="O598" s="29" t="s">
        <v>17</v>
      </c>
      <c r="P598" s="29" t="s">
        <v>229</v>
      </c>
      <c r="Q598" s="32">
        <v>44927</v>
      </c>
      <c r="R598" s="14" t="s">
        <v>1222</v>
      </c>
      <c r="S598" s="37"/>
      <c r="T598" s="38"/>
      <c r="U598" s="30"/>
      <c r="V598" s="39"/>
      <c r="W598" s="40"/>
      <c r="X598" s="39"/>
      <c r="Y598" s="41"/>
      <c r="Z598" s="9"/>
      <c r="AA598" s="9"/>
      <c r="AB598" s="9"/>
      <c r="AC598" s="7">
        <v>286427</v>
      </c>
      <c r="AD598" s="33"/>
      <c r="AE598" s="33"/>
      <c r="AF598" s="33"/>
      <c r="AG598" s="66"/>
    </row>
    <row r="599" spans="1:37" x14ac:dyDescent="0.3">
      <c r="B599" s="13">
        <v>46216</v>
      </c>
      <c r="C599" s="70">
        <v>10020341</v>
      </c>
      <c r="D599" s="61" t="s">
        <v>1744</v>
      </c>
      <c r="E599" s="30" t="s">
        <v>1744</v>
      </c>
      <c r="F599" s="65" t="s">
        <v>1628</v>
      </c>
      <c r="G599" s="68">
        <v>46232</v>
      </c>
      <c r="H599" s="15" t="s">
        <v>251</v>
      </c>
      <c r="I599" s="63" t="s">
        <v>683</v>
      </c>
      <c r="J599" s="15"/>
      <c r="K599" s="29">
        <v>45323</v>
      </c>
      <c r="L599" s="29">
        <v>45931</v>
      </c>
      <c r="M599" s="29" t="s">
        <v>211</v>
      </c>
      <c r="N599" s="29" t="s">
        <v>853</v>
      </c>
      <c r="O599" s="29" t="s">
        <v>23</v>
      </c>
      <c r="P599" s="29" t="s">
        <v>212</v>
      </c>
      <c r="Q599" s="32"/>
      <c r="R599" s="14" t="s">
        <v>1222</v>
      </c>
      <c r="S599" s="37"/>
      <c r="T599" s="38"/>
      <c r="U599" s="30"/>
      <c r="V599" s="39"/>
      <c r="W599" s="40"/>
      <c r="X599" s="39"/>
      <c r="Y599" s="41"/>
      <c r="Z599" s="9"/>
      <c r="AA599" s="9"/>
      <c r="AB599" s="9"/>
      <c r="AC599" s="7">
        <v>23840</v>
      </c>
      <c r="AD599" s="33"/>
      <c r="AE599" s="33"/>
      <c r="AF599" s="33"/>
      <c r="AG599" s="66"/>
    </row>
    <row r="600" spans="1:37" x14ac:dyDescent="0.3">
      <c r="B600" s="13">
        <v>46216</v>
      </c>
      <c r="C600" s="70">
        <v>10016496</v>
      </c>
      <c r="D600" s="61" t="s">
        <v>1709</v>
      </c>
      <c r="E600" s="30" t="s">
        <v>1709</v>
      </c>
      <c r="F600" s="65" t="s">
        <v>1630</v>
      </c>
      <c r="G600" s="68">
        <v>46232</v>
      </c>
      <c r="H600" s="15" t="s">
        <v>251</v>
      </c>
      <c r="I600" s="63"/>
      <c r="J600" s="15"/>
      <c r="K600" s="29">
        <v>44597</v>
      </c>
      <c r="L600" s="29">
        <v>46054</v>
      </c>
      <c r="M600" s="29" t="s">
        <v>219</v>
      </c>
      <c r="N600" s="29" t="s">
        <v>286</v>
      </c>
      <c r="O600" s="29" t="s">
        <v>24</v>
      </c>
      <c r="P600" s="29" t="s">
        <v>214</v>
      </c>
      <c r="Q600" s="32">
        <v>45292</v>
      </c>
      <c r="R600" s="14" t="s">
        <v>1222</v>
      </c>
      <c r="S600" s="37"/>
      <c r="T600" s="38"/>
      <c r="U600" s="30"/>
      <c r="V600" s="39"/>
      <c r="W600" s="40"/>
      <c r="X600" s="39"/>
      <c r="Y600" s="41"/>
      <c r="Z600" s="9"/>
      <c r="AA600" s="9"/>
      <c r="AB600" s="9"/>
      <c r="AC600" s="7">
        <v>157878</v>
      </c>
      <c r="AD600" s="33"/>
      <c r="AE600" s="33"/>
      <c r="AF600" s="33"/>
      <c r="AG600" s="66"/>
    </row>
    <row r="601" spans="1:37" x14ac:dyDescent="0.3">
      <c r="B601" s="13">
        <v>46216</v>
      </c>
      <c r="C601" s="70">
        <v>15014</v>
      </c>
      <c r="D601" s="61" t="s">
        <v>1753</v>
      </c>
      <c r="E601" s="30" t="s">
        <v>1802</v>
      </c>
      <c r="F601" s="65" t="s">
        <v>1639</v>
      </c>
      <c r="G601" s="68">
        <v>46232</v>
      </c>
      <c r="H601" s="15" t="s">
        <v>251</v>
      </c>
      <c r="I601" s="63" t="s">
        <v>683</v>
      </c>
      <c r="J601" s="15"/>
      <c r="K601" s="29">
        <v>44251</v>
      </c>
      <c r="L601" s="29">
        <v>46023</v>
      </c>
      <c r="M601" s="29" t="s">
        <v>219</v>
      </c>
      <c r="N601" s="29" t="s">
        <v>110</v>
      </c>
      <c r="O601" s="29" t="s">
        <v>23</v>
      </c>
      <c r="P601" s="29" t="s">
        <v>214</v>
      </c>
      <c r="Q601" s="32">
        <v>45292</v>
      </c>
      <c r="R601" s="14" t="s">
        <v>1222</v>
      </c>
      <c r="S601" s="37"/>
      <c r="T601" s="38"/>
      <c r="U601" s="30"/>
      <c r="V601" s="39"/>
      <c r="W601" s="40"/>
      <c r="X601" s="39"/>
      <c r="Y601" s="41"/>
      <c r="Z601" s="9"/>
      <c r="AA601" s="9"/>
      <c r="AB601" s="9"/>
      <c r="AC601" s="7">
        <v>213430</v>
      </c>
      <c r="AD601" s="33"/>
      <c r="AE601" s="33"/>
      <c r="AF601" s="33"/>
      <c r="AG601" s="66"/>
    </row>
    <row r="602" spans="1:37" x14ac:dyDescent="0.3">
      <c r="B602" s="13">
        <v>46183</v>
      </c>
      <c r="C602" s="60">
        <v>10023396</v>
      </c>
      <c r="D602" s="30" t="s">
        <v>1538</v>
      </c>
      <c r="E602" s="30" t="s">
        <v>1538</v>
      </c>
      <c r="F602" s="65" t="s">
        <v>332</v>
      </c>
      <c r="G602" s="68">
        <v>46232</v>
      </c>
      <c r="H602" s="15" t="s">
        <v>251</v>
      </c>
      <c r="I602" s="63"/>
      <c r="J602" s="15" t="s">
        <v>1864</v>
      </c>
      <c r="K602" s="29">
        <v>45718</v>
      </c>
      <c r="L602" s="29">
        <v>45962</v>
      </c>
      <c r="M602" s="29" t="s">
        <v>220</v>
      </c>
      <c r="N602" s="29" t="s">
        <v>150</v>
      </c>
      <c r="O602" s="29" t="s">
        <v>17</v>
      </c>
      <c r="P602" s="29" t="s">
        <v>221</v>
      </c>
      <c r="Q602" s="32"/>
      <c r="R602" s="14" t="s">
        <v>1222</v>
      </c>
      <c r="S602" s="37"/>
      <c r="T602" s="38"/>
      <c r="U602" s="30"/>
      <c r="V602" s="39"/>
      <c r="W602" s="40"/>
      <c r="X602" s="39"/>
      <c r="Y602" s="41"/>
      <c r="Z602" s="9"/>
      <c r="AA602" s="9"/>
      <c r="AB602" s="9"/>
      <c r="AC602" s="7">
        <v>1464</v>
      </c>
    </row>
    <row r="603" spans="1:37" x14ac:dyDescent="0.3">
      <c r="B603" s="13">
        <v>46216</v>
      </c>
      <c r="C603" s="70">
        <v>10018319</v>
      </c>
      <c r="D603" s="61" t="s">
        <v>1712</v>
      </c>
      <c r="E603" s="30" t="s">
        <v>1712</v>
      </c>
      <c r="F603" s="65" t="s">
        <v>1635</v>
      </c>
      <c r="G603" s="68">
        <v>46232</v>
      </c>
      <c r="H603" s="15" t="s">
        <v>251</v>
      </c>
      <c r="I603" s="63"/>
      <c r="J603" s="15"/>
      <c r="K603" s="29">
        <v>44969</v>
      </c>
      <c r="L603" s="29">
        <v>46023</v>
      </c>
      <c r="M603" s="29" t="s">
        <v>211</v>
      </c>
      <c r="N603" s="29" t="s">
        <v>98</v>
      </c>
      <c r="O603" s="29" t="s">
        <v>23</v>
      </c>
      <c r="P603" s="29" t="s">
        <v>212</v>
      </c>
      <c r="Q603" s="32"/>
      <c r="R603" s="14" t="s">
        <v>1222</v>
      </c>
      <c r="S603" s="37"/>
      <c r="T603" s="38"/>
      <c r="U603" s="30"/>
      <c r="V603" s="39"/>
      <c r="W603" s="40"/>
      <c r="X603" s="39"/>
      <c r="Y603" s="41"/>
      <c r="Z603" s="9"/>
      <c r="AA603" s="9"/>
      <c r="AB603" s="9"/>
      <c r="AC603" s="7">
        <v>64459</v>
      </c>
    </row>
    <row r="604" spans="1:37" x14ac:dyDescent="0.3">
      <c r="B604" s="13">
        <v>46216</v>
      </c>
      <c r="C604" s="70">
        <v>10024587</v>
      </c>
      <c r="D604" s="61" t="s">
        <v>1751</v>
      </c>
      <c r="E604" s="30" t="s">
        <v>1751</v>
      </c>
      <c r="F604" s="65" t="s">
        <v>1637</v>
      </c>
      <c r="G604" s="68">
        <v>46232</v>
      </c>
      <c r="H604" s="15" t="s">
        <v>251</v>
      </c>
      <c r="I604" s="63"/>
      <c r="J604" s="15"/>
      <c r="K604" s="29">
        <v>45931</v>
      </c>
      <c r="L604" s="29">
        <v>46054</v>
      </c>
      <c r="M604" s="29" t="s">
        <v>211</v>
      </c>
      <c r="N604" s="29" t="s">
        <v>152</v>
      </c>
      <c r="O604" s="29" t="s">
        <v>23</v>
      </c>
      <c r="P604" s="29" t="s">
        <v>212</v>
      </c>
      <c r="Q604" s="32"/>
      <c r="R604" s="14" t="s">
        <v>1222</v>
      </c>
      <c r="S604" s="37"/>
      <c r="T604" s="38"/>
      <c r="U604" s="30"/>
      <c r="V604" s="39"/>
      <c r="W604" s="40"/>
      <c r="X604" s="39"/>
      <c r="Y604" s="41"/>
      <c r="Z604" s="9"/>
      <c r="AA604" s="9"/>
      <c r="AB604" s="9"/>
      <c r="AC604" s="7">
        <v>11629</v>
      </c>
    </row>
    <row r="605" spans="1:37" x14ac:dyDescent="0.3">
      <c r="B605" s="13">
        <v>46216</v>
      </c>
      <c r="C605" s="70">
        <v>10020948</v>
      </c>
      <c r="D605" s="61" t="s">
        <v>1758</v>
      </c>
      <c r="E605" s="30" t="s">
        <v>1820</v>
      </c>
      <c r="F605" s="65" t="s">
        <v>1647</v>
      </c>
      <c r="G605" s="68">
        <v>46232</v>
      </c>
      <c r="H605" s="15" t="s">
        <v>251</v>
      </c>
      <c r="I605" s="63"/>
      <c r="J605" s="15"/>
      <c r="K605" s="29">
        <v>45408</v>
      </c>
      <c r="L605" s="29">
        <v>45930</v>
      </c>
      <c r="M605" s="29" t="s">
        <v>211</v>
      </c>
      <c r="N605" s="29" t="s">
        <v>139</v>
      </c>
      <c r="O605" s="29" t="s">
        <v>23</v>
      </c>
      <c r="P605" s="29" t="s">
        <v>212</v>
      </c>
      <c r="Q605" s="32"/>
      <c r="R605" s="14" t="s">
        <v>1222</v>
      </c>
      <c r="S605" s="37"/>
      <c r="T605" s="38"/>
      <c r="U605" s="30"/>
      <c r="V605" s="39"/>
      <c r="W605" s="40"/>
      <c r="X605" s="39"/>
      <c r="Y605" s="41"/>
      <c r="Z605" s="9"/>
      <c r="AA605" s="9"/>
      <c r="AB605" s="9"/>
      <c r="AC605" s="7">
        <v>49060</v>
      </c>
    </row>
    <row r="606" spans="1:37" x14ac:dyDescent="0.3">
      <c r="B606" s="13">
        <v>46216</v>
      </c>
      <c r="C606" s="70">
        <v>10024339</v>
      </c>
      <c r="D606" s="61" t="s">
        <v>1760</v>
      </c>
      <c r="E606" s="30" t="s">
        <v>1760</v>
      </c>
      <c r="F606" s="65" t="s">
        <v>1649</v>
      </c>
      <c r="G606" s="68">
        <v>46232</v>
      </c>
      <c r="H606" s="15" t="s">
        <v>251</v>
      </c>
      <c r="I606" s="63"/>
      <c r="J606" s="15"/>
      <c r="K606" s="29">
        <v>45896</v>
      </c>
      <c r="L606" s="29">
        <v>46054</v>
      </c>
      <c r="M606" s="29" t="s">
        <v>211</v>
      </c>
      <c r="N606" s="29" t="s">
        <v>105</v>
      </c>
      <c r="O606" s="29" t="s">
        <v>23</v>
      </c>
      <c r="P606" s="29" t="s">
        <v>212</v>
      </c>
      <c r="Q606" s="32"/>
      <c r="R606" s="14" t="s">
        <v>1222</v>
      </c>
      <c r="S606" s="37"/>
      <c r="T606" s="38"/>
      <c r="U606" s="30"/>
      <c r="V606" s="39"/>
      <c r="W606" s="40"/>
      <c r="X606" s="39"/>
      <c r="Y606" s="41"/>
      <c r="Z606" s="9"/>
      <c r="AA606" s="9"/>
      <c r="AB606" s="9"/>
      <c r="AC606" s="7">
        <v>9234</v>
      </c>
    </row>
    <row r="607" spans="1:37" x14ac:dyDescent="0.3">
      <c r="B607" s="13">
        <v>46216</v>
      </c>
      <c r="C607" s="70">
        <v>6811</v>
      </c>
      <c r="D607" s="61" t="s">
        <v>1790</v>
      </c>
      <c r="E607" s="30" t="s">
        <v>1810</v>
      </c>
      <c r="F607" s="65" t="s">
        <v>1685</v>
      </c>
      <c r="G607" s="68">
        <v>46232</v>
      </c>
      <c r="H607" s="15" t="s">
        <v>251</v>
      </c>
      <c r="I607" s="63"/>
      <c r="J607" s="15"/>
      <c r="K607" s="29">
        <v>42031</v>
      </c>
      <c r="L607" s="29">
        <v>46023</v>
      </c>
      <c r="M607" s="29" t="s">
        <v>216</v>
      </c>
      <c r="N607" s="29" t="s">
        <v>118</v>
      </c>
      <c r="O607" s="29" t="s">
        <v>23</v>
      </c>
      <c r="P607" s="29" t="s">
        <v>217</v>
      </c>
      <c r="Q607" s="32">
        <v>45579</v>
      </c>
      <c r="R607" s="14" t="s">
        <v>1222</v>
      </c>
      <c r="S607" s="37"/>
      <c r="T607" s="38"/>
      <c r="U607" s="30"/>
      <c r="V607" s="39"/>
      <c r="W607" s="40"/>
      <c r="X607" s="39"/>
      <c r="Y607" s="41"/>
      <c r="Z607" s="9"/>
      <c r="AA607" s="9"/>
      <c r="AB607" s="9"/>
      <c r="AC607" s="7">
        <v>812562</v>
      </c>
    </row>
    <row r="608" spans="1:37" x14ac:dyDescent="0.3">
      <c r="B608" s="13">
        <v>46183</v>
      </c>
      <c r="C608" s="60">
        <v>10023748</v>
      </c>
      <c r="D608" s="30" t="s">
        <v>1516</v>
      </c>
      <c r="E608" s="30" t="s">
        <v>1516</v>
      </c>
      <c r="F608" s="65" t="s">
        <v>1388</v>
      </c>
      <c r="G608" s="68">
        <v>46233</v>
      </c>
      <c r="H608" s="15" t="s">
        <v>251</v>
      </c>
      <c r="I608" s="63"/>
      <c r="J608" s="15" t="s">
        <v>1863</v>
      </c>
      <c r="K608" s="29">
        <v>45777</v>
      </c>
      <c r="L608" s="29">
        <v>45962</v>
      </c>
      <c r="M608" s="29" t="s">
        <v>211</v>
      </c>
      <c r="N608" s="29" t="s">
        <v>1207</v>
      </c>
      <c r="O608" s="29" t="s">
        <v>25</v>
      </c>
      <c r="P608" s="29" t="s">
        <v>212</v>
      </c>
      <c r="Q608" s="32"/>
      <c r="R608" s="14" t="s">
        <v>1222</v>
      </c>
      <c r="S608" s="37"/>
      <c r="T608" s="38"/>
      <c r="U608" s="30"/>
      <c r="V608" s="39"/>
      <c r="W608" s="40"/>
      <c r="X608" s="39"/>
      <c r="Y608" s="41"/>
      <c r="Z608" s="9"/>
      <c r="AA608" s="9"/>
      <c r="AB608" s="9"/>
      <c r="AC608" s="7">
        <v>11994</v>
      </c>
    </row>
    <row r="609" spans="1:37" x14ac:dyDescent="0.3">
      <c r="B609" s="13">
        <v>46194</v>
      </c>
      <c r="C609" s="60">
        <v>10021196</v>
      </c>
      <c r="D609" s="30" t="s">
        <v>1605</v>
      </c>
      <c r="E609" s="30" t="s">
        <v>1605</v>
      </c>
      <c r="F609" s="65" t="s">
        <v>1574</v>
      </c>
      <c r="G609" s="68">
        <v>46233</v>
      </c>
      <c r="H609" s="15" t="s">
        <v>251</v>
      </c>
      <c r="I609" s="63"/>
      <c r="J609" s="15" t="s">
        <v>1867</v>
      </c>
      <c r="K609" s="29">
        <v>45444</v>
      </c>
      <c r="L609" s="29">
        <v>45872</v>
      </c>
      <c r="M609" s="29" t="s">
        <v>226</v>
      </c>
      <c r="N609" s="29"/>
      <c r="O609" s="29" t="s">
        <v>17</v>
      </c>
      <c r="P609" s="29" t="s">
        <v>221</v>
      </c>
      <c r="Q609" s="32"/>
      <c r="R609" s="14" t="s">
        <v>1222</v>
      </c>
      <c r="S609" s="37"/>
      <c r="T609" s="38"/>
      <c r="U609" s="30"/>
      <c r="V609" s="39"/>
      <c r="W609" s="40"/>
      <c r="X609" s="39"/>
      <c r="Y609" s="41"/>
      <c r="Z609" s="9"/>
      <c r="AA609" s="9"/>
      <c r="AB609" s="9"/>
      <c r="AC609" s="7">
        <v>14025</v>
      </c>
    </row>
    <row r="610" spans="1:37" x14ac:dyDescent="0.3">
      <c r="B610" s="13">
        <v>46216</v>
      </c>
      <c r="C610" s="70">
        <v>11663</v>
      </c>
      <c r="D610" s="73" t="s">
        <v>1733</v>
      </c>
      <c r="E610" s="30" t="s">
        <v>1707</v>
      </c>
      <c r="F610" s="65" t="s">
        <v>1618</v>
      </c>
      <c r="G610" s="68">
        <v>46233</v>
      </c>
      <c r="H610" s="15" t="s">
        <v>251</v>
      </c>
      <c r="I610" s="63"/>
      <c r="J610" s="15"/>
      <c r="K610" s="29">
        <v>43397</v>
      </c>
      <c r="L610" s="29">
        <v>46052</v>
      </c>
      <c r="M610" s="29" t="s">
        <v>219</v>
      </c>
      <c r="N610" s="29" t="s">
        <v>126</v>
      </c>
      <c r="O610" s="29" t="s">
        <v>23</v>
      </c>
      <c r="P610" s="29" t="s">
        <v>214</v>
      </c>
      <c r="Q610" s="32">
        <v>44562</v>
      </c>
      <c r="R610" s="14" t="s">
        <v>1222</v>
      </c>
      <c r="S610" s="37"/>
      <c r="T610" s="38"/>
      <c r="U610" s="30"/>
      <c r="V610" s="39"/>
      <c r="W610" s="40"/>
      <c r="X610" s="39"/>
      <c r="Y610" s="41"/>
      <c r="Z610" s="9"/>
      <c r="AA610" s="9"/>
      <c r="AB610" s="9"/>
      <c r="AC610" s="7">
        <v>412754</v>
      </c>
    </row>
    <row r="611" spans="1:37" x14ac:dyDescent="0.3">
      <c r="B611" s="13">
        <v>46216</v>
      </c>
      <c r="C611" s="70">
        <v>10023484</v>
      </c>
      <c r="D611" s="61" t="s">
        <v>1734</v>
      </c>
      <c r="E611" s="30" t="s">
        <v>1734</v>
      </c>
      <c r="F611" s="65" t="s">
        <v>1619</v>
      </c>
      <c r="G611" s="68">
        <v>46233</v>
      </c>
      <c r="H611" s="15" t="s">
        <v>251</v>
      </c>
      <c r="I611" s="63"/>
      <c r="J611" s="15"/>
      <c r="K611" s="29">
        <v>45770</v>
      </c>
      <c r="L611" s="29">
        <v>46172</v>
      </c>
      <c r="M611" s="29" t="s">
        <v>224</v>
      </c>
      <c r="N611" s="29" t="s">
        <v>159</v>
      </c>
      <c r="O611" s="29" t="s">
        <v>314</v>
      </c>
      <c r="P611" s="29" t="s">
        <v>217</v>
      </c>
      <c r="Q611" s="32"/>
      <c r="R611" s="14" t="s">
        <v>1222</v>
      </c>
      <c r="S611" s="37"/>
      <c r="T611" s="38"/>
      <c r="U611" s="30"/>
      <c r="V611" s="39"/>
      <c r="W611" s="40"/>
      <c r="X611" s="39"/>
      <c r="Y611" s="41"/>
      <c r="Z611" s="9"/>
      <c r="AA611" s="9"/>
      <c r="AB611" s="9"/>
      <c r="AC611" s="7">
        <v>45775</v>
      </c>
    </row>
    <row r="612" spans="1:37" x14ac:dyDescent="0.3">
      <c r="B612" s="13">
        <v>46216</v>
      </c>
      <c r="C612" s="70">
        <v>10889</v>
      </c>
      <c r="D612" s="61" t="s">
        <v>1746</v>
      </c>
      <c r="E612" s="30" t="s">
        <v>1801</v>
      </c>
      <c r="F612" s="65" t="s">
        <v>1631</v>
      </c>
      <c r="G612" s="68">
        <v>46233</v>
      </c>
      <c r="H612" s="15" t="s">
        <v>251</v>
      </c>
      <c r="I612" s="63"/>
      <c r="J612" s="15"/>
      <c r="K612" s="29">
        <v>43181</v>
      </c>
      <c r="L612" s="29">
        <v>46054</v>
      </c>
      <c r="M612" s="29" t="s">
        <v>219</v>
      </c>
      <c r="N612" s="29" t="s">
        <v>98</v>
      </c>
      <c r="O612" s="29" t="s">
        <v>23</v>
      </c>
      <c r="P612" s="29" t="s">
        <v>214</v>
      </c>
      <c r="Q612" s="32"/>
      <c r="R612" s="14" t="s">
        <v>1222</v>
      </c>
      <c r="S612" s="37"/>
      <c r="T612" s="38"/>
      <c r="U612" s="30"/>
      <c r="V612" s="39"/>
      <c r="W612" s="40"/>
      <c r="X612" s="39"/>
      <c r="Y612" s="41"/>
      <c r="Z612" s="9"/>
      <c r="AA612" s="9"/>
      <c r="AB612" s="9"/>
      <c r="AC612" s="7">
        <v>499838</v>
      </c>
    </row>
    <row r="613" spans="1:37" x14ac:dyDescent="0.3">
      <c r="B613" s="13">
        <v>46216</v>
      </c>
      <c r="C613" s="70">
        <v>13286</v>
      </c>
      <c r="D613" s="61" t="s">
        <v>1728</v>
      </c>
      <c r="E613" s="30" t="s">
        <v>1798</v>
      </c>
      <c r="F613" s="65" t="s">
        <v>1613</v>
      </c>
      <c r="G613" s="77">
        <v>46236</v>
      </c>
      <c r="H613" s="15" t="s">
        <v>251</v>
      </c>
      <c r="I613" s="63"/>
      <c r="J613" s="15"/>
      <c r="K613" s="29">
        <v>43771</v>
      </c>
      <c r="L613" s="29">
        <v>46033</v>
      </c>
      <c r="M613" s="29" t="s">
        <v>280</v>
      </c>
      <c r="N613" s="29" t="s">
        <v>1693</v>
      </c>
      <c r="O613" s="29" t="s">
        <v>25</v>
      </c>
      <c r="P613" s="29" t="s">
        <v>281</v>
      </c>
      <c r="Q613" s="32">
        <v>45658</v>
      </c>
      <c r="R613" s="14" t="s">
        <v>1222</v>
      </c>
      <c r="S613" s="37"/>
      <c r="T613" s="38"/>
      <c r="U613" s="30"/>
      <c r="V613" s="39"/>
      <c r="W613" s="40"/>
      <c r="X613" s="39"/>
      <c r="Y613" s="41"/>
      <c r="Z613" s="9"/>
      <c r="AA613" s="9"/>
      <c r="AB613" s="9"/>
      <c r="AC613" s="7">
        <v>520565</v>
      </c>
    </row>
    <row r="614" spans="1:37" x14ac:dyDescent="0.3">
      <c r="B614" s="13">
        <v>46216</v>
      </c>
      <c r="C614" s="70">
        <v>10019236</v>
      </c>
      <c r="D614" s="73" t="s">
        <v>1731</v>
      </c>
      <c r="E614" s="30" t="s">
        <v>1817</v>
      </c>
      <c r="F614" s="65" t="s">
        <v>1616</v>
      </c>
      <c r="G614" s="77">
        <v>46236</v>
      </c>
      <c r="H614" s="15" t="s">
        <v>251</v>
      </c>
      <c r="I614" s="63"/>
      <c r="J614" s="15"/>
      <c r="K614" s="29">
        <v>45102</v>
      </c>
      <c r="L614" s="29">
        <v>45931</v>
      </c>
      <c r="M614" s="29" t="s">
        <v>219</v>
      </c>
      <c r="N614" s="29" t="s">
        <v>91</v>
      </c>
      <c r="O614" s="29" t="s">
        <v>16</v>
      </c>
      <c r="P614" s="29" t="s">
        <v>214</v>
      </c>
      <c r="Q614" s="32">
        <v>45658</v>
      </c>
      <c r="R614" s="14" t="s">
        <v>1222</v>
      </c>
      <c r="S614" s="37"/>
      <c r="T614" s="38"/>
      <c r="U614" s="30"/>
      <c r="V614" s="39"/>
      <c r="W614" s="40"/>
      <c r="X614" s="39"/>
      <c r="Y614" s="41"/>
      <c r="Z614" s="9"/>
      <c r="AA614" s="9"/>
      <c r="AB614" s="9"/>
      <c r="AC614" s="7">
        <v>79625</v>
      </c>
    </row>
    <row r="615" spans="1:37" x14ac:dyDescent="0.3">
      <c r="B615" s="13">
        <v>46216</v>
      </c>
      <c r="C615" s="70">
        <v>13346</v>
      </c>
      <c r="D615" s="61" t="s">
        <v>1757</v>
      </c>
      <c r="E615" s="30"/>
      <c r="F615" s="65" t="s">
        <v>1646</v>
      </c>
      <c r="G615" s="77">
        <v>46236</v>
      </c>
      <c r="H615" s="15" t="s">
        <v>251</v>
      </c>
      <c r="I615" s="63"/>
      <c r="J615" s="15"/>
      <c r="K615" s="29">
        <v>43794</v>
      </c>
      <c r="L615" s="29">
        <v>46023</v>
      </c>
      <c r="M615" s="29" t="s">
        <v>211</v>
      </c>
      <c r="N615" s="29" t="s">
        <v>148</v>
      </c>
      <c r="O615" s="29" t="s">
        <v>23</v>
      </c>
      <c r="P615" s="29" t="s">
        <v>212</v>
      </c>
      <c r="Q615" s="32"/>
      <c r="R615" s="14" t="s">
        <v>1223</v>
      </c>
      <c r="S615" s="37"/>
      <c r="T615" s="38"/>
      <c r="U615" s="30"/>
      <c r="V615" s="39"/>
      <c r="W615" s="40"/>
      <c r="X615" s="39"/>
      <c r="Y615" s="41"/>
      <c r="Z615" s="9"/>
      <c r="AA615" s="9"/>
      <c r="AB615" s="9"/>
      <c r="AC615" s="7">
        <v>305669</v>
      </c>
    </row>
    <row r="616" spans="1:37" x14ac:dyDescent="0.3">
      <c r="B616" s="13">
        <v>46216</v>
      </c>
      <c r="C616" s="70">
        <v>10025412</v>
      </c>
      <c r="D616" s="61" t="s">
        <v>1759</v>
      </c>
      <c r="E616" s="30" t="s">
        <v>1759</v>
      </c>
      <c r="F616" s="65" t="s">
        <v>1648</v>
      </c>
      <c r="G616" s="77">
        <v>46236</v>
      </c>
      <c r="H616" s="15" t="s">
        <v>251</v>
      </c>
      <c r="I616" s="63"/>
      <c r="J616" s="15"/>
      <c r="K616" s="29">
        <v>46032</v>
      </c>
      <c r="L616" s="29">
        <v>46045</v>
      </c>
      <c r="M616" s="29" t="s">
        <v>211</v>
      </c>
      <c r="N616" s="29" t="s">
        <v>126</v>
      </c>
      <c r="O616" s="29" t="s">
        <v>23</v>
      </c>
      <c r="P616" s="29" t="s">
        <v>212</v>
      </c>
      <c r="Q616" s="32"/>
      <c r="R616" s="14" t="s">
        <v>1222</v>
      </c>
      <c r="S616" s="37"/>
      <c r="T616" s="38"/>
      <c r="U616" s="30"/>
      <c r="V616" s="39"/>
      <c r="W616" s="40"/>
      <c r="X616" s="39"/>
      <c r="Y616" s="41"/>
      <c r="Z616" s="9"/>
      <c r="AA616" s="9"/>
      <c r="AB616" s="9"/>
      <c r="AC616" s="7">
        <v>11675</v>
      </c>
    </row>
    <row r="617" spans="1:37" x14ac:dyDescent="0.3">
      <c r="B617" s="13">
        <v>46216</v>
      </c>
      <c r="C617" s="70">
        <v>10018975</v>
      </c>
      <c r="D617" s="61" t="s">
        <v>1721</v>
      </c>
      <c r="E617" s="30" t="s">
        <v>1806</v>
      </c>
      <c r="F617" s="65" t="s">
        <v>1659</v>
      </c>
      <c r="G617" s="77">
        <v>46236</v>
      </c>
      <c r="H617" s="15" t="s">
        <v>251</v>
      </c>
      <c r="I617" s="63"/>
      <c r="J617" s="15"/>
      <c r="K617" s="29">
        <v>45088</v>
      </c>
      <c r="L617" s="29">
        <v>45931</v>
      </c>
      <c r="M617" s="29" t="s">
        <v>211</v>
      </c>
      <c r="N617" s="29" t="s">
        <v>142</v>
      </c>
      <c r="O617" s="29" t="s">
        <v>23</v>
      </c>
      <c r="P617" s="29" t="s">
        <v>212</v>
      </c>
      <c r="Q617" s="32"/>
      <c r="R617" s="14" t="s">
        <v>1222</v>
      </c>
      <c r="S617" s="37"/>
      <c r="T617" s="38"/>
      <c r="U617" s="30"/>
      <c r="V617" s="39"/>
      <c r="W617" s="40"/>
      <c r="X617" s="39"/>
      <c r="Y617" s="41"/>
      <c r="Z617" s="9"/>
      <c r="AA617" s="9"/>
      <c r="AB617" s="9"/>
      <c r="AC617" s="7">
        <v>59615</v>
      </c>
    </row>
    <row r="618" spans="1:37" x14ac:dyDescent="0.3">
      <c r="B618" s="13">
        <v>46216</v>
      </c>
      <c r="C618" s="70">
        <v>10025280</v>
      </c>
      <c r="D618" s="61" t="s">
        <v>1783</v>
      </c>
      <c r="E618" s="30" t="s">
        <v>1783</v>
      </c>
      <c r="F618" s="65" t="s">
        <v>1679</v>
      </c>
      <c r="G618" s="77">
        <v>46236</v>
      </c>
      <c r="H618" s="15" t="s">
        <v>251</v>
      </c>
      <c r="I618" s="63"/>
      <c r="J618" s="15"/>
      <c r="K618" s="29">
        <v>46006</v>
      </c>
      <c r="L618" s="29">
        <v>46054</v>
      </c>
      <c r="M618" s="29" t="s">
        <v>211</v>
      </c>
      <c r="N618" s="29" t="s">
        <v>188</v>
      </c>
      <c r="O618" s="29" t="s">
        <v>23</v>
      </c>
      <c r="P618" s="29" t="s">
        <v>212</v>
      </c>
      <c r="Q618" s="32"/>
      <c r="R618" s="14" t="s">
        <v>1222</v>
      </c>
      <c r="S618" s="37"/>
      <c r="T618" s="38"/>
      <c r="U618" s="30"/>
      <c r="V618" s="39"/>
      <c r="W618" s="40"/>
      <c r="X618" s="39"/>
      <c r="Y618" s="41"/>
      <c r="Z618" s="9"/>
      <c r="AA618" s="9"/>
      <c r="AB618" s="9"/>
      <c r="AC618" s="7">
        <v>6850</v>
      </c>
    </row>
    <row r="619" spans="1:37" x14ac:dyDescent="0.3">
      <c r="B619" s="13">
        <v>46216</v>
      </c>
      <c r="C619" s="70">
        <v>9270</v>
      </c>
      <c r="D619" s="61" t="s">
        <v>1792</v>
      </c>
      <c r="E619" s="30" t="s">
        <v>1811</v>
      </c>
      <c r="F619" s="65" t="s">
        <v>1686</v>
      </c>
      <c r="G619" s="77">
        <v>46236</v>
      </c>
      <c r="H619" s="15" t="s">
        <v>251</v>
      </c>
      <c r="I619" s="63"/>
      <c r="J619" s="15"/>
      <c r="K619" s="29">
        <v>42767</v>
      </c>
      <c r="L619" s="29">
        <v>46023</v>
      </c>
      <c r="M619" s="29" t="s">
        <v>219</v>
      </c>
      <c r="N619" s="29" t="s">
        <v>118</v>
      </c>
      <c r="O619" s="29" t="s">
        <v>23</v>
      </c>
      <c r="P619" s="29" t="s">
        <v>214</v>
      </c>
      <c r="Q619" s="32"/>
      <c r="R619" s="14" t="s">
        <v>1222</v>
      </c>
      <c r="S619" s="37"/>
      <c r="T619" s="38"/>
      <c r="U619" s="30"/>
      <c r="V619" s="39"/>
      <c r="W619" s="40"/>
      <c r="X619" s="39"/>
      <c r="Y619" s="41"/>
      <c r="Z619" s="9"/>
      <c r="AA619" s="9"/>
      <c r="AB619" s="9"/>
      <c r="AC619" s="7">
        <v>381847</v>
      </c>
    </row>
    <row r="620" spans="1:37" x14ac:dyDescent="0.3">
      <c r="B620" s="13">
        <v>46216</v>
      </c>
      <c r="C620" s="70">
        <v>10021244</v>
      </c>
      <c r="D620" s="61" t="s">
        <v>1795</v>
      </c>
      <c r="E620" s="30" t="s">
        <v>1795</v>
      </c>
      <c r="F620" s="65" t="s">
        <v>1689</v>
      </c>
      <c r="G620" s="77">
        <v>46236</v>
      </c>
      <c r="H620" s="15" t="s">
        <v>251</v>
      </c>
      <c r="I620" s="63"/>
      <c r="J620" s="15"/>
      <c r="K620" s="29">
        <v>45435</v>
      </c>
      <c r="L620" s="29">
        <v>45869</v>
      </c>
      <c r="M620" s="29" t="s">
        <v>220</v>
      </c>
      <c r="N620" s="29" t="s">
        <v>271</v>
      </c>
      <c r="O620" s="29" t="s">
        <v>17</v>
      </c>
      <c r="P620" s="29" t="s">
        <v>221</v>
      </c>
      <c r="Q620" s="32"/>
      <c r="R620" s="14" t="s">
        <v>1222</v>
      </c>
      <c r="S620" s="37"/>
      <c r="T620" s="38"/>
      <c r="U620" s="30"/>
      <c r="V620" s="39"/>
      <c r="W620" s="40"/>
      <c r="X620" s="39"/>
      <c r="Y620" s="41"/>
      <c r="Z620" s="9"/>
      <c r="AA620" s="9"/>
      <c r="AB620" s="9"/>
      <c r="AC620" s="7">
        <v>13161</v>
      </c>
    </row>
    <row r="621" spans="1:37" x14ac:dyDescent="0.3">
      <c r="A621" s="31"/>
      <c r="B621" s="13">
        <v>46194</v>
      </c>
      <c r="C621" s="60">
        <v>10024532</v>
      </c>
      <c r="D621" s="30" t="s">
        <v>1600</v>
      </c>
      <c r="E621" s="30" t="s">
        <v>1600</v>
      </c>
      <c r="F621" s="65" t="s">
        <v>1377</v>
      </c>
      <c r="G621" s="77">
        <v>46237</v>
      </c>
      <c r="H621" s="15" t="s">
        <v>251</v>
      </c>
      <c r="I621" s="63"/>
      <c r="J621" s="15" t="s">
        <v>1866</v>
      </c>
      <c r="K621" s="29">
        <v>45896</v>
      </c>
      <c r="L621" s="29">
        <v>45962</v>
      </c>
      <c r="M621" s="29" t="s">
        <v>220</v>
      </c>
      <c r="N621" s="29"/>
      <c r="O621" s="29" t="s">
        <v>17</v>
      </c>
      <c r="P621" s="29" t="s">
        <v>221</v>
      </c>
      <c r="Q621" s="32"/>
      <c r="R621" s="14" t="s">
        <v>1222</v>
      </c>
      <c r="S621" s="37"/>
      <c r="T621" s="38"/>
      <c r="U621" s="30"/>
      <c r="V621" s="39"/>
      <c r="W621" s="40"/>
      <c r="X621" s="39"/>
      <c r="Y621" s="41"/>
      <c r="Z621" s="9"/>
      <c r="AA621" s="9"/>
      <c r="AB621" s="9"/>
      <c r="AC621" s="7">
        <v>16299</v>
      </c>
      <c r="AD621" s="33"/>
      <c r="AE621" s="33"/>
      <c r="AF621" s="33"/>
      <c r="AG621" s="66"/>
      <c r="AH621" s="44"/>
      <c r="AI621" s="45"/>
      <c r="AJ621" s="36"/>
      <c r="AK621" s="36"/>
    </row>
    <row r="622" spans="1:37" x14ac:dyDescent="0.3">
      <c r="A622" s="31"/>
      <c r="B622" s="13">
        <v>46216</v>
      </c>
      <c r="C622" s="70">
        <v>10023389</v>
      </c>
      <c r="D622" s="61" t="s">
        <v>1737</v>
      </c>
      <c r="E622" s="30" t="s">
        <v>1800</v>
      </c>
      <c r="F622" s="65" t="s">
        <v>1621</v>
      </c>
      <c r="G622" s="77">
        <v>46237</v>
      </c>
      <c r="H622" s="15" t="s">
        <v>251</v>
      </c>
      <c r="I622" s="63"/>
      <c r="J622" s="15"/>
      <c r="K622" s="29">
        <v>45704</v>
      </c>
      <c r="L622" s="29">
        <v>46023</v>
      </c>
      <c r="M622" s="29" t="s">
        <v>211</v>
      </c>
      <c r="N622" s="29" t="s">
        <v>572</v>
      </c>
      <c r="O622" s="29" t="s">
        <v>16</v>
      </c>
      <c r="P622" s="29" t="s">
        <v>212</v>
      </c>
      <c r="Q622" s="32"/>
      <c r="R622" s="14" t="s">
        <v>1222</v>
      </c>
      <c r="S622" s="37"/>
      <c r="T622" s="38"/>
      <c r="U622" s="30"/>
      <c r="V622" s="39"/>
      <c r="W622" s="40"/>
      <c r="X622" s="39"/>
      <c r="Y622" s="41"/>
      <c r="Z622" s="9"/>
      <c r="AA622" s="9"/>
      <c r="AB622" s="9"/>
      <c r="AC622" s="7">
        <v>32216</v>
      </c>
      <c r="AD622" s="33"/>
      <c r="AE622" s="33"/>
      <c r="AF622" s="33"/>
      <c r="AG622" s="66"/>
      <c r="AH622" s="44"/>
      <c r="AI622" s="45"/>
      <c r="AJ622" s="36"/>
      <c r="AK622" s="36"/>
    </row>
    <row r="623" spans="1:37" x14ac:dyDescent="0.3">
      <c r="A623" s="31"/>
      <c r="B623" s="13">
        <v>46216</v>
      </c>
      <c r="C623" s="70">
        <v>10017393</v>
      </c>
      <c r="D623" s="61" t="s">
        <v>1749</v>
      </c>
      <c r="E623" s="30" t="s">
        <v>1711</v>
      </c>
      <c r="F623" s="65" t="s">
        <v>84</v>
      </c>
      <c r="G623" s="77">
        <v>46237</v>
      </c>
      <c r="H623" s="15" t="s">
        <v>251</v>
      </c>
      <c r="I623" s="63"/>
      <c r="J623" s="15"/>
      <c r="K623" s="29">
        <v>44773</v>
      </c>
      <c r="L623" s="29">
        <v>45992</v>
      </c>
      <c r="M623" s="29" t="s">
        <v>211</v>
      </c>
      <c r="N623" s="29" t="s">
        <v>153</v>
      </c>
      <c r="O623" s="29" t="s">
        <v>23</v>
      </c>
      <c r="P623" s="29" t="s">
        <v>212</v>
      </c>
      <c r="Q623" s="32"/>
      <c r="R623" s="14" t="s">
        <v>1222</v>
      </c>
      <c r="S623" s="37"/>
      <c r="T623" s="38"/>
      <c r="U623" s="30"/>
      <c r="V623" s="39"/>
      <c r="W623" s="40"/>
      <c r="X623" s="39"/>
      <c r="Y623" s="41"/>
      <c r="Z623" s="9"/>
      <c r="AA623" s="9"/>
      <c r="AB623" s="9"/>
      <c r="AC623" s="7">
        <v>85404</v>
      </c>
      <c r="AD623" s="33"/>
      <c r="AE623" s="33"/>
      <c r="AF623" s="33"/>
      <c r="AG623" s="66"/>
      <c r="AH623" s="44"/>
      <c r="AI623" s="45"/>
      <c r="AJ623" s="36"/>
      <c r="AK623" s="36"/>
    </row>
    <row r="624" spans="1:37" x14ac:dyDescent="0.3">
      <c r="A624" s="31"/>
      <c r="B624" s="13">
        <v>46216</v>
      </c>
      <c r="C624" s="70">
        <v>10017082</v>
      </c>
      <c r="D624" s="61" t="s">
        <v>1767</v>
      </c>
      <c r="E624" s="30" t="s">
        <v>1722</v>
      </c>
      <c r="F624" s="65" t="s">
        <v>294</v>
      </c>
      <c r="G624" s="77">
        <v>46237</v>
      </c>
      <c r="H624" s="15" t="s">
        <v>251</v>
      </c>
      <c r="I624" s="63"/>
      <c r="J624" s="15"/>
      <c r="K624" s="29">
        <v>44726</v>
      </c>
      <c r="L624" s="29">
        <v>45901</v>
      </c>
      <c r="M624" s="29" t="s">
        <v>219</v>
      </c>
      <c r="N624" s="29" t="s">
        <v>189</v>
      </c>
      <c r="O624" s="29" t="s">
        <v>23</v>
      </c>
      <c r="P624" s="29" t="s">
        <v>214</v>
      </c>
      <c r="Q624" s="32">
        <v>45292</v>
      </c>
      <c r="R624" s="14" t="s">
        <v>1222</v>
      </c>
      <c r="S624" s="37"/>
      <c r="T624" s="38"/>
      <c r="U624" s="30"/>
      <c r="V624" s="39"/>
      <c r="W624" s="40"/>
      <c r="X624" s="39"/>
      <c r="Y624" s="41"/>
      <c r="Z624" s="9"/>
      <c r="AA624" s="9"/>
      <c r="AB624" s="9"/>
      <c r="AC624" s="7">
        <v>111139</v>
      </c>
      <c r="AD624" s="33"/>
      <c r="AE624" s="33"/>
      <c r="AF624" s="33"/>
      <c r="AG624" s="66"/>
      <c r="AH624" s="44"/>
      <c r="AI624" s="45"/>
      <c r="AJ624" s="36"/>
      <c r="AK624" s="36"/>
    </row>
    <row r="625" spans="1:37" x14ac:dyDescent="0.3">
      <c r="A625" s="31"/>
      <c r="B625" s="13">
        <v>46216</v>
      </c>
      <c r="C625" s="70">
        <v>10024722</v>
      </c>
      <c r="D625" s="61" t="s">
        <v>1776</v>
      </c>
      <c r="E625" s="30" t="s">
        <v>1776</v>
      </c>
      <c r="F625" s="65" t="s">
        <v>1671</v>
      </c>
      <c r="G625" s="77">
        <v>46237</v>
      </c>
      <c r="H625" s="15" t="s">
        <v>251</v>
      </c>
      <c r="I625" s="63"/>
      <c r="J625" s="15"/>
      <c r="K625" s="29">
        <v>45951</v>
      </c>
      <c r="L625" s="29">
        <v>46053</v>
      </c>
      <c r="M625" s="29" t="s">
        <v>211</v>
      </c>
      <c r="N625" s="29" t="s">
        <v>173</v>
      </c>
      <c r="O625" s="29" t="s">
        <v>16</v>
      </c>
      <c r="P625" s="29" t="s">
        <v>212</v>
      </c>
      <c r="Q625" s="32"/>
      <c r="R625" s="14" t="s">
        <v>1222</v>
      </c>
      <c r="S625" s="37"/>
      <c r="T625" s="38"/>
      <c r="U625" s="30"/>
      <c r="V625" s="39"/>
      <c r="W625" s="40"/>
      <c r="X625" s="39"/>
      <c r="Y625" s="41"/>
      <c r="Z625" s="9"/>
      <c r="AA625" s="9"/>
      <c r="AB625" s="9"/>
      <c r="AC625" s="7">
        <v>13328</v>
      </c>
      <c r="AD625" s="33"/>
      <c r="AE625" s="33"/>
      <c r="AF625" s="33"/>
      <c r="AG625" s="66"/>
      <c r="AH625" s="44"/>
      <c r="AI625" s="45"/>
      <c r="AJ625" s="36"/>
      <c r="AK625" s="36"/>
    </row>
    <row r="626" spans="1:37" x14ac:dyDescent="0.3">
      <c r="A626" s="31"/>
      <c r="B626" s="13">
        <v>46183</v>
      </c>
      <c r="C626" s="60">
        <v>10023369</v>
      </c>
      <c r="D626" s="30" t="s">
        <v>1859</v>
      </c>
      <c r="E626" s="30" t="s">
        <v>1534</v>
      </c>
      <c r="F626" s="65" t="s">
        <v>1405</v>
      </c>
      <c r="G626" s="77">
        <v>46238</v>
      </c>
      <c r="H626" s="15" t="s">
        <v>251</v>
      </c>
      <c r="I626" s="63"/>
      <c r="J626" s="15"/>
      <c r="K626" s="29">
        <v>45722</v>
      </c>
      <c r="L626" s="29">
        <v>45944</v>
      </c>
      <c r="M626" s="29" t="s">
        <v>211</v>
      </c>
      <c r="N626" s="29" t="s">
        <v>643</v>
      </c>
      <c r="O626" s="29" t="s">
        <v>23</v>
      </c>
      <c r="P626" s="29" t="s">
        <v>212</v>
      </c>
      <c r="Q626" s="32"/>
      <c r="R626" s="14" t="s">
        <v>1222</v>
      </c>
      <c r="S626" s="37"/>
      <c r="T626" s="38"/>
      <c r="U626" s="30"/>
      <c r="V626" s="39"/>
      <c r="W626" s="40"/>
      <c r="X626" s="39"/>
      <c r="Y626" s="41"/>
      <c r="Z626" s="9"/>
      <c r="AA626" s="9"/>
      <c r="AB626" s="9"/>
      <c r="AC626" s="7">
        <v>5165</v>
      </c>
      <c r="AD626" s="33"/>
      <c r="AE626" s="33"/>
      <c r="AF626" s="33"/>
      <c r="AG626" s="66"/>
      <c r="AH626" s="44"/>
      <c r="AI626" s="45"/>
      <c r="AJ626" s="36"/>
      <c r="AK626" s="36"/>
    </row>
    <row r="627" spans="1:37" x14ac:dyDescent="0.3">
      <c r="A627" s="31"/>
      <c r="B627" s="13">
        <v>46216</v>
      </c>
      <c r="C627" s="70">
        <v>10023508</v>
      </c>
      <c r="D627" s="61" t="s">
        <v>1730</v>
      </c>
      <c r="E627" s="30" t="s">
        <v>1730</v>
      </c>
      <c r="F627" s="65" t="s">
        <v>1615</v>
      </c>
      <c r="G627" s="77">
        <v>46238</v>
      </c>
      <c r="H627" s="15" t="s">
        <v>251</v>
      </c>
      <c r="I627" s="63"/>
      <c r="J627" s="15"/>
      <c r="K627" s="29">
        <v>45770</v>
      </c>
      <c r="L627" s="29">
        <v>46162</v>
      </c>
      <c r="M627" s="29" t="s">
        <v>224</v>
      </c>
      <c r="N627" s="29" t="s">
        <v>121</v>
      </c>
      <c r="O627" s="29" t="s">
        <v>28</v>
      </c>
      <c r="P627" s="29" t="s">
        <v>217</v>
      </c>
      <c r="Q627" s="32"/>
      <c r="R627" s="14" t="s">
        <v>1222</v>
      </c>
      <c r="S627" s="37"/>
      <c r="T627" s="38"/>
      <c r="U627" s="30"/>
      <c r="V627" s="39"/>
      <c r="W627" s="40"/>
      <c r="X627" s="39"/>
      <c r="Y627" s="41"/>
      <c r="Z627" s="9"/>
      <c r="AA627" s="9"/>
      <c r="AB627" s="9"/>
      <c r="AC627" s="7">
        <v>75657</v>
      </c>
      <c r="AD627" s="33"/>
      <c r="AE627" s="33"/>
      <c r="AF627" s="33"/>
      <c r="AG627" s="66"/>
      <c r="AH627" s="44"/>
      <c r="AI627" s="45"/>
      <c r="AJ627" s="36"/>
      <c r="AK627" s="36"/>
    </row>
    <row r="628" spans="1:37" x14ac:dyDescent="0.3">
      <c r="A628" s="31"/>
      <c r="B628" s="13">
        <v>46216</v>
      </c>
      <c r="C628" s="70">
        <v>10018604</v>
      </c>
      <c r="D628" s="73" t="s">
        <v>1814</v>
      </c>
      <c r="E628" s="61" t="s">
        <v>1706</v>
      </c>
      <c r="F628" s="65" t="s">
        <v>1617</v>
      </c>
      <c r="G628" s="77">
        <v>46238</v>
      </c>
      <c r="H628" s="15" t="s">
        <v>251</v>
      </c>
      <c r="I628" s="63" t="s">
        <v>1860</v>
      </c>
      <c r="J628" s="15"/>
      <c r="K628" s="29">
        <v>45021</v>
      </c>
      <c r="L628" s="29">
        <v>46023</v>
      </c>
      <c r="M628" s="29" t="s">
        <v>211</v>
      </c>
      <c r="N628" s="29" t="s">
        <v>168</v>
      </c>
      <c r="O628" s="29" t="s">
        <v>23</v>
      </c>
      <c r="P628" s="29" t="s">
        <v>212</v>
      </c>
      <c r="Q628" s="32"/>
      <c r="R628" s="14" t="s">
        <v>1222</v>
      </c>
      <c r="S628" s="37"/>
      <c r="T628" s="38"/>
      <c r="U628" s="30"/>
      <c r="V628" s="39"/>
      <c r="W628" s="40"/>
      <c r="X628" s="39"/>
      <c r="Y628" s="41"/>
      <c r="Z628" s="9"/>
      <c r="AA628" s="9"/>
      <c r="AB628" s="9"/>
      <c r="AC628" s="7">
        <v>72266</v>
      </c>
      <c r="AD628" s="33"/>
      <c r="AE628" s="33"/>
      <c r="AF628" s="33"/>
      <c r="AG628" s="66"/>
      <c r="AH628" s="44"/>
      <c r="AI628" s="45"/>
      <c r="AJ628" s="36"/>
      <c r="AK628" s="36"/>
    </row>
    <row r="629" spans="1:37" x14ac:dyDescent="0.3">
      <c r="A629" s="31"/>
      <c r="B629" s="13">
        <v>46216</v>
      </c>
      <c r="C629" s="70">
        <v>10019320</v>
      </c>
      <c r="D629" s="61" t="s">
        <v>1719</v>
      </c>
      <c r="E629" s="30" t="s">
        <v>1719</v>
      </c>
      <c r="F629" s="65" t="s">
        <v>1655</v>
      </c>
      <c r="G629" s="77">
        <v>46238</v>
      </c>
      <c r="H629" s="15" t="s">
        <v>251</v>
      </c>
      <c r="I629" s="63"/>
      <c r="J629" s="15"/>
      <c r="K629" s="29">
        <v>45139</v>
      </c>
      <c r="L629" s="29">
        <v>45931</v>
      </c>
      <c r="M629" s="29" t="s">
        <v>219</v>
      </c>
      <c r="N629" s="29" t="s">
        <v>189</v>
      </c>
      <c r="O629" s="29" t="s">
        <v>23</v>
      </c>
      <c r="P629" s="29" t="s">
        <v>214</v>
      </c>
      <c r="Q629" s="32"/>
      <c r="R629" s="14" t="s">
        <v>1223</v>
      </c>
      <c r="S629" s="37"/>
      <c r="T629" s="38"/>
      <c r="U629" s="30"/>
      <c r="V629" s="39"/>
      <c r="W629" s="40"/>
      <c r="X629" s="39"/>
      <c r="Y629" s="41"/>
      <c r="Z629" s="9"/>
      <c r="AA629" s="9"/>
      <c r="AB629" s="9"/>
      <c r="AC629" s="7">
        <v>86831</v>
      </c>
      <c r="AD629" s="33"/>
      <c r="AE629" s="33"/>
      <c r="AF629" s="33"/>
      <c r="AG629" s="66"/>
      <c r="AH629" s="44"/>
      <c r="AI629" s="45"/>
      <c r="AJ629" s="36"/>
      <c r="AK629" s="36"/>
    </row>
    <row r="630" spans="1:37" x14ac:dyDescent="0.3">
      <c r="A630" s="31"/>
      <c r="B630" s="13">
        <v>46216</v>
      </c>
      <c r="C630" s="70">
        <v>10018394</v>
      </c>
      <c r="D630" s="73" t="s">
        <v>1764</v>
      </c>
      <c r="E630" s="30" t="s">
        <v>1825</v>
      </c>
      <c r="F630" s="65" t="s">
        <v>1657</v>
      </c>
      <c r="G630" s="77">
        <v>46238</v>
      </c>
      <c r="H630" s="15" t="s">
        <v>251</v>
      </c>
      <c r="I630" s="63"/>
      <c r="J630" s="15"/>
      <c r="K630" s="29">
        <v>44983</v>
      </c>
      <c r="L630" s="29">
        <v>45915</v>
      </c>
      <c r="M630" s="29" t="s">
        <v>216</v>
      </c>
      <c r="N630" s="29" t="s">
        <v>572</v>
      </c>
      <c r="O630" s="29" t="s">
        <v>16</v>
      </c>
      <c r="P630" s="29" t="s">
        <v>217</v>
      </c>
      <c r="Q630" s="32">
        <v>45778</v>
      </c>
      <c r="R630" s="14" t="s">
        <v>1222</v>
      </c>
      <c r="S630" s="37"/>
      <c r="T630" s="38"/>
      <c r="U630" s="30"/>
      <c r="V630" s="39"/>
      <c r="W630" s="40"/>
      <c r="X630" s="39"/>
      <c r="Y630" s="41"/>
      <c r="Z630" s="9"/>
      <c r="AA630" s="9"/>
      <c r="AB630" s="9"/>
      <c r="AC630" s="7">
        <v>84616</v>
      </c>
      <c r="AD630" s="33"/>
      <c r="AE630" s="33"/>
      <c r="AF630" s="33"/>
      <c r="AG630" s="66"/>
      <c r="AH630" s="44"/>
      <c r="AI630" s="45"/>
      <c r="AJ630" s="36"/>
      <c r="AK630" s="36"/>
    </row>
    <row r="631" spans="1:37" x14ac:dyDescent="0.3">
      <c r="A631" s="31"/>
      <c r="B631" s="13">
        <v>46216</v>
      </c>
      <c r="C631" s="70">
        <v>10018089</v>
      </c>
      <c r="D631" s="61" t="s">
        <v>1723</v>
      </c>
      <c r="E631" s="30" t="s">
        <v>1816</v>
      </c>
      <c r="F631" s="65" t="s">
        <v>1663</v>
      </c>
      <c r="G631" s="77">
        <v>46238</v>
      </c>
      <c r="H631" s="15" t="s">
        <v>251</v>
      </c>
      <c r="I631" s="63"/>
      <c r="J631" s="15"/>
      <c r="K631" s="29">
        <v>44938</v>
      </c>
      <c r="L631" s="29">
        <v>45901</v>
      </c>
      <c r="M631" s="29" t="s">
        <v>219</v>
      </c>
      <c r="N631" s="29" t="s">
        <v>115</v>
      </c>
      <c r="O631" s="29" t="s">
        <v>23</v>
      </c>
      <c r="P631" s="29" t="s">
        <v>214</v>
      </c>
      <c r="Q631" s="32">
        <v>45658</v>
      </c>
      <c r="R631" s="14" t="s">
        <v>1222</v>
      </c>
      <c r="S631" s="37"/>
      <c r="T631" s="38"/>
      <c r="U631" s="30"/>
      <c r="V631" s="39"/>
      <c r="W631" s="40"/>
      <c r="X631" s="39"/>
      <c r="Y631" s="41"/>
      <c r="Z631" s="9"/>
      <c r="AA631" s="9"/>
      <c r="AB631" s="9"/>
      <c r="AC631" s="7">
        <v>66149</v>
      </c>
      <c r="AD631" s="33"/>
      <c r="AE631" s="33"/>
      <c r="AF631" s="33"/>
      <c r="AG631" s="66"/>
      <c r="AH631" s="44"/>
      <c r="AI631" s="45"/>
      <c r="AJ631" s="36"/>
      <c r="AK631" s="36"/>
    </row>
    <row r="632" spans="1:37" x14ac:dyDescent="0.3">
      <c r="A632" s="31"/>
      <c r="B632" s="13">
        <v>46216</v>
      </c>
      <c r="C632" s="70">
        <v>10022153</v>
      </c>
      <c r="D632" s="61" t="s">
        <v>1770</v>
      </c>
      <c r="E632" s="30" t="s">
        <v>1770</v>
      </c>
      <c r="F632" s="65" t="s">
        <v>1664</v>
      </c>
      <c r="G632" s="77">
        <v>46238</v>
      </c>
      <c r="H632" s="15" t="s">
        <v>251</v>
      </c>
      <c r="I632" s="63"/>
      <c r="J632" s="15"/>
      <c r="K632" s="29">
        <v>45587</v>
      </c>
      <c r="L632" s="29">
        <v>46054</v>
      </c>
      <c r="M632" s="29" t="s">
        <v>211</v>
      </c>
      <c r="N632" s="29" t="s">
        <v>119</v>
      </c>
      <c r="O632" s="29" t="s">
        <v>23</v>
      </c>
      <c r="P632" s="29" t="s">
        <v>212</v>
      </c>
      <c r="Q632" s="32"/>
      <c r="R632" s="14" t="s">
        <v>1222</v>
      </c>
      <c r="S632" s="37"/>
      <c r="T632" s="38"/>
      <c r="U632" s="30"/>
      <c r="V632" s="39"/>
      <c r="W632" s="40"/>
      <c r="X632" s="39"/>
      <c r="Y632" s="41"/>
      <c r="Z632" s="9"/>
      <c r="AA632" s="9"/>
      <c r="AB632" s="9"/>
      <c r="AC632" s="7">
        <v>28932</v>
      </c>
      <c r="AD632" s="33"/>
      <c r="AE632" s="33"/>
      <c r="AF632" s="33"/>
      <c r="AG632" s="66"/>
      <c r="AH632" s="44"/>
      <c r="AI632" s="45"/>
      <c r="AJ632" s="36"/>
      <c r="AK632" s="36"/>
    </row>
    <row r="633" spans="1:37" x14ac:dyDescent="0.3">
      <c r="A633" s="31"/>
      <c r="B633" s="13">
        <v>46216</v>
      </c>
      <c r="C633" s="70">
        <v>10018216</v>
      </c>
      <c r="D633" s="73" t="s">
        <v>1774</v>
      </c>
      <c r="E633" s="30" t="s">
        <v>1774</v>
      </c>
      <c r="F633" s="65" t="s">
        <v>1669</v>
      </c>
      <c r="G633" s="77">
        <v>46238</v>
      </c>
      <c r="H633" s="15" t="s">
        <v>251</v>
      </c>
      <c r="I633" s="63"/>
      <c r="J633" s="15"/>
      <c r="K633" s="29">
        <v>44939</v>
      </c>
      <c r="L633" s="29">
        <v>46023</v>
      </c>
      <c r="M633" s="29" t="s">
        <v>211</v>
      </c>
      <c r="N633" s="29" t="s">
        <v>876</v>
      </c>
      <c r="O633" s="29" t="s">
        <v>25</v>
      </c>
      <c r="P633" s="29" t="s">
        <v>212</v>
      </c>
      <c r="Q633" s="32"/>
      <c r="R633" s="14" t="s">
        <v>1222</v>
      </c>
      <c r="S633" s="37"/>
      <c r="T633" s="38"/>
      <c r="U633" s="30"/>
      <c r="V633" s="39"/>
      <c r="W633" s="40"/>
      <c r="X633" s="39"/>
      <c r="Y633" s="41"/>
      <c r="Z633" s="9"/>
      <c r="AA633" s="9"/>
      <c r="AB633" s="9"/>
      <c r="AC633" s="7">
        <v>64981</v>
      </c>
      <c r="AD633" s="33"/>
      <c r="AE633" s="33"/>
      <c r="AF633" s="33"/>
      <c r="AG633" s="66"/>
      <c r="AH633" s="44"/>
      <c r="AI633" s="45"/>
      <c r="AJ633" s="36"/>
      <c r="AK633" s="36"/>
    </row>
    <row r="634" spans="1:37" x14ac:dyDescent="0.3">
      <c r="A634" s="31"/>
      <c r="B634" s="13">
        <v>46216</v>
      </c>
      <c r="C634" s="70">
        <v>10022641</v>
      </c>
      <c r="D634" s="61" t="s">
        <v>1775</v>
      </c>
      <c r="E634" s="30" t="s">
        <v>1807</v>
      </c>
      <c r="F634" s="65" t="s">
        <v>1670</v>
      </c>
      <c r="G634" s="77">
        <v>46238</v>
      </c>
      <c r="H634" s="15" t="s">
        <v>251</v>
      </c>
      <c r="I634" s="63"/>
      <c r="J634" s="15"/>
      <c r="K634" s="29">
        <v>45649</v>
      </c>
      <c r="L634" s="29">
        <v>46011</v>
      </c>
      <c r="M634" s="29" t="s">
        <v>211</v>
      </c>
      <c r="N634" s="29" t="s">
        <v>126</v>
      </c>
      <c r="O634" s="29" t="s">
        <v>23</v>
      </c>
      <c r="P634" s="29" t="s">
        <v>212</v>
      </c>
      <c r="Q634" s="32"/>
      <c r="R634" s="14" t="s">
        <v>1222</v>
      </c>
      <c r="S634" s="37"/>
      <c r="T634" s="38"/>
      <c r="U634" s="30"/>
      <c r="V634" s="39"/>
      <c r="W634" s="40"/>
      <c r="X634" s="39"/>
      <c r="Y634" s="41"/>
      <c r="Z634" s="9"/>
      <c r="AA634" s="9"/>
      <c r="AB634" s="9"/>
      <c r="AC634" s="7">
        <v>19740</v>
      </c>
      <c r="AD634" s="33"/>
      <c r="AE634" s="33"/>
      <c r="AF634" s="33"/>
      <c r="AG634" s="66"/>
      <c r="AH634" s="44"/>
      <c r="AI634" s="45"/>
      <c r="AJ634" s="36"/>
      <c r="AK634" s="36"/>
    </row>
    <row r="635" spans="1:37" x14ac:dyDescent="0.3">
      <c r="A635" s="31"/>
      <c r="B635" s="13">
        <v>46216</v>
      </c>
      <c r="C635" s="70">
        <v>10025060</v>
      </c>
      <c r="D635" s="61" t="s">
        <v>1784</v>
      </c>
      <c r="E635" s="30" t="s">
        <v>1784</v>
      </c>
      <c r="F635" s="65" t="s">
        <v>667</v>
      </c>
      <c r="G635" s="77">
        <v>46238</v>
      </c>
      <c r="H635" s="15" t="s">
        <v>251</v>
      </c>
      <c r="I635" s="63"/>
      <c r="J635" s="15"/>
      <c r="K635" s="29">
        <v>45997</v>
      </c>
      <c r="L635" s="29">
        <v>46054</v>
      </c>
      <c r="M635" s="29" t="s">
        <v>219</v>
      </c>
      <c r="N635" s="29" t="s">
        <v>183</v>
      </c>
      <c r="O635" s="29" t="s">
        <v>23</v>
      </c>
      <c r="P635" s="29" t="s">
        <v>214</v>
      </c>
      <c r="Q635" s="32"/>
      <c r="R635" s="14" t="s">
        <v>1222</v>
      </c>
      <c r="S635" s="37"/>
      <c r="T635" s="38"/>
      <c r="U635" s="30"/>
      <c r="V635" s="39"/>
      <c r="W635" s="40"/>
      <c r="X635" s="39"/>
      <c r="Y635" s="41"/>
      <c r="Z635" s="9"/>
      <c r="AA635" s="9"/>
      <c r="AB635" s="9"/>
      <c r="AC635" s="7">
        <v>4927</v>
      </c>
      <c r="AD635" s="33"/>
      <c r="AE635" s="33"/>
      <c r="AF635" s="33"/>
      <c r="AG635" s="66"/>
      <c r="AH635" s="44"/>
      <c r="AI635" s="45"/>
      <c r="AJ635" s="36"/>
      <c r="AK635" s="36"/>
    </row>
    <row r="636" spans="1:37" x14ac:dyDescent="0.3">
      <c r="A636" s="31"/>
      <c r="B636" s="13">
        <v>46216</v>
      </c>
      <c r="C636" s="70">
        <v>4249</v>
      </c>
      <c r="D636" s="61" t="s">
        <v>1791</v>
      </c>
      <c r="E636" s="30" t="s">
        <v>1824</v>
      </c>
      <c r="F636" s="65" t="s">
        <v>664</v>
      </c>
      <c r="G636" s="77">
        <v>46238</v>
      </c>
      <c r="H636" s="15" t="s">
        <v>251</v>
      </c>
      <c r="I636" s="63"/>
      <c r="J636" s="15"/>
      <c r="K636" s="29">
        <v>40859</v>
      </c>
      <c r="L636" s="29">
        <v>45930</v>
      </c>
      <c r="M636" s="29" t="s">
        <v>215</v>
      </c>
      <c r="N636" s="29" t="s">
        <v>173</v>
      </c>
      <c r="O636" s="29" t="s">
        <v>16</v>
      </c>
      <c r="P636" s="29" t="s">
        <v>223</v>
      </c>
      <c r="Q636" s="32"/>
      <c r="R636" s="14" t="s">
        <v>1222</v>
      </c>
      <c r="S636" s="37"/>
      <c r="T636" s="38"/>
      <c r="U636" s="30"/>
      <c r="V636" s="39"/>
      <c r="W636" s="40"/>
      <c r="X636" s="39"/>
      <c r="Y636" s="41"/>
      <c r="Z636" s="9"/>
      <c r="AA636" s="9"/>
      <c r="AB636" s="9"/>
      <c r="AC636" s="7">
        <v>1144901</v>
      </c>
      <c r="AD636" s="33"/>
      <c r="AE636" s="33"/>
      <c r="AF636" s="33"/>
      <c r="AG636" s="66"/>
      <c r="AH636" s="44"/>
      <c r="AI636" s="45"/>
      <c r="AJ636" s="36"/>
      <c r="AK636" s="36"/>
    </row>
    <row r="637" spans="1:37" x14ac:dyDescent="0.3">
      <c r="A637" s="31"/>
      <c r="B637" s="13">
        <v>46216</v>
      </c>
      <c r="C637" s="70">
        <v>16053</v>
      </c>
      <c r="D637" s="61" t="s">
        <v>1793</v>
      </c>
      <c r="E637" s="30" t="s">
        <v>1812</v>
      </c>
      <c r="F637" s="65" t="s">
        <v>1687</v>
      </c>
      <c r="G637" s="77">
        <v>46238</v>
      </c>
      <c r="H637" s="15" t="s">
        <v>251</v>
      </c>
      <c r="I637" s="63"/>
      <c r="J637" s="15"/>
      <c r="K637" s="29">
        <v>44470</v>
      </c>
      <c r="L637" s="29">
        <v>45779</v>
      </c>
      <c r="M637" s="29" t="s">
        <v>219</v>
      </c>
      <c r="N637" s="29" t="s">
        <v>140</v>
      </c>
      <c r="O637" s="29" t="s">
        <v>22</v>
      </c>
      <c r="P637" s="29" t="s">
        <v>214</v>
      </c>
      <c r="Q637" s="32">
        <v>44927</v>
      </c>
      <c r="R637" s="14" t="s">
        <v>1222</v>
      </c>
      <c r="S637" s="37"/>
      <c r="T637" s="38"/>
      <c r="U637" s="30"/>
      <c r="V637" s="39"/>
      <c r="W637" s="40"/>
      <c r="X637" s="39"/>
      <c r="Y637" s="41"/>
      <c r="Z637" s="9"/>
      <c r="AA637" s="9"/>
      <c r="AB637" s="9"/>
      <c r="AC637" s="7">
        <v>9366</v>
      </c>
      <c r="AD637" s="33"/>
      <c r="AE637" s="33"/>
      <c r="AF637" s="33"/>
      <c r="AG637" s="66"/>
      <c r="AH637" s="44"/>
      <c r="AI637" s="45"/>
      <c r="AJ637" s="36"/>
      <c r="AK637" s="36"/>
    </row>
    <row r="638" spans="1:37" x14ac:dyDescent="0.3">
      <c r="A638" s="31"/>
      <c r="B638" s="13">
        <v>46216</v>
      </c>
      <c r="C638" s="70">
        <v>10020326</v>
      </c>
      <c r="D638" s="61" t="s">
        <v>1732</v>
      </c>
      <c r="E638" s="30" t="s">
        <v>1732</v>
      </c>
      <c r="F638" s="65" t="s">
        <v>18</v>
      </c>
      <c r="G638" s="77">
        <v>46240</v>
      </c>
      <c r="H638" s="15" t="s">
        <v>251</v>
      </c>
      <c r="I638" s="63"/>
      <c r="J638" s="15"/>
      <c r="K638" s="29">
        <v>45315</v>
      </c>
      <c r="L638" s="29">
        <v>46023</v>
      </c>
      <c r="M638" s="29" t="s">
        <v>211</v>
      </c>
      <c r="N638" s="29" t="s">
        <v>103</v>
      </c>
      <c r="O638" s="29" t="s">
        <v>23</v>
      </c>
      <c r="P638" s="29" t="s">
        <v>212</v>
      </c>
      <c r="Q638" s="32"/>
      <c r="R638" s="14" t="s">
        <v>1222</v>
      </c>
      <c r="S638" s="37"/>
      <c r="T638" s="38"/>
      <c r="U638" s="30"/>
      <c r="V638" s="39"/>
      <c r="W638" s="40"/>
      <c r="X638" s="39"/>
      <c r="Y638" s="41"/>
      <c r="Z638" s="9"/>
      <c r="AA638" s="9"/>
      <c r="AB638" s="9"/>
      <c r="AC638" s="7">
        <v>67941</v>
      </c>
      <c r="AD638" s="33"/>
      <c r="AE638" s="33"/>
      <c r="AF638" s="33"/>
      <c r="AG638" s="66"/>
      <c r="AH638" s="44"/>
      <c r="AI638" s="45"/>
      <c r="AJ638" s="36"/>
      <c r="AK638" s="36"/>
    </row>
    <row r="639" spans="1:37" x14ac:dyDescent="0.3">
      <c r="A639" s="31"/>
      <c r="B639" s="13">
        <v>46216</v>
      </c>
      <c r="C639" s="70">
        <v>10024829</v>
      </c>
      <c r="D639" s="61" t="s">
        <v>1745</v>
      </c>
      <c r="E639" s="30" t="s">
        <v>1745</v>
      </c>
      <c r="F639" s="65" t="s">
        <v>1629</v>
      </c>
      <c r="G639" s="77">
        <v>46240</v>
      </c>
      <c r="H639" s="15" t="s">
        <v>251</v>
      </c>
      <c r="I639" s="63"/>
      <c r="J639" s="15"/>
      <c r="K639" s="29">
        <v>45973</v>
      </c>
      <c r="L639" s="29">
        <v>46023</v>
      </c>
      <c r="M639" s="29" t="s">
        <v>211</v>
      </c>
      <c r="N639" s="29" t="s">
        <v>187</v>
      </c>
      <c r="O639" s="29" t="s">
        <v>23</v>
      </c>
      <c r="P639" s="29" t="s">
        <v>212</v>
      </c>
      <c r="Q639" s="32"/>
      <c r="R639" s="14" t="s">
        <v>1222</v>
      </c>
      <c r="S639" s="37"/>
      <c r="T639" s="38"/>
      <c r="U639" s="30"/>
      <c r="V639" s="39"/>
      <c r="W639" s="40"/>
      <c r="X639" s="39"/>
      <c r="Y639" s="41"/>
      <c r="Z639" s="9"/>
      <c r="AA639" s="9"/>
      <c r="AB639" s="9"/>
      <c r="AC639" s="7">
        <v>5633</v>
      </c>
      <c r="AD639" s="33"/>
      <c r="AE639" s="33"/>
      <c r="AF639" s="33"/>
      <c r="AG639" s="66"/>
      <c r="AH639" s="44"/>
      <c r="AI639" s="45"/>
      <c r="AJ639" s="36"/>
      <c r="AK639" s="36"/>
    </row>
    <row r="640" spans="1:37" x14ac:dyDescent="0.3">
      <c r="A640" s="31"/>
      <c r="B640" s="13">
        <v>46216</v>
      </c>
      <c r="C640" s="70">
        <v>10020916</v>
      </c>
      <c r="D640" s="61" t="s">
        <v>1748</v>
      </c>
      <c r="E640" s="30" t="s">
        <v>1748</v>
      </c>
      <c r="F640" s="65" t="s">
        <v>1634</v>
      </c>
      <c r="G640" s="77">
        <v>46240</v>
      </c>
      <c r="H640" s="15" t="s">
        <v>251</v>
      </c>
      <c r="I640" s="63"/>
      <c r="J640" s="15"/>
      <c r="K640" s="29">
        <v>45384</v>
      </c>
      <c r="L640" s="29">
        <v>46023</v>
      </c>
      <c r="M640" s="29" t="s">
        <v>219</v>
      </c>
      <c r="N640" s="29" t="s">
        <v>127</v>
      </c>
      <c r="O640" s="29" t="s">
        <v>23</v>
      </c>
      <c r="P640" s="29" t="s">
        <v>214</v>
      </c>
      <c r="Q640" s="32"/>
      <c r="R640" s="14" t="s">
        <v>1222</v>
      </c>
      <c r="S640" s="37"/>
      <c r="T640" s="38"/>
      <c r="U640" s="30"/>
      <c r="V640" s="39"/>
      <c r="W640" s="40"/>
      <c r="X640" s="39"/>
      <c r="Y640" s="41"/>
      <c r="Z640" s="9"/>
      <c r="AA640" s="9"/>
      <c r="AB640" s="9"/>
      <c r="AC640" s="7">
        <v>42610</v>
      </c>
      <c r="AD640" s="33"/>
      <c r="AE640" s="33"/>
      <c r="AF640" s="33"/>
      <c r="AG640" s="66"/>
      <c r="AH640" s="44"/>
      <c r="AI640" s="45"/>
      <c r="AJ640" s="36"/>
      <c r="AK640" s="36"/>
    </row>
    <row r="641" spans="1:37" x14ac:dyDescent="0.3">
      <c r="A641" s="31"/>
      <c r="B641" s="13">
        <v>46216</v>
      </c>
      <c r="C641" s="70">
        <v>14024</v>
      </c>
      <c r="D641" s="61" t="s">
        <v>1756</v>
      </c>
      <c r="E641" s="30" t="s">
        <v>1805</v>
      </c>
      <c r="F641" s="65" t="s">
        <v>1644</v>
      </c>
      <c r="G641" s="77">
        <v>46240</v>
      </c>
      <c r="H641" s="15" t="s">
        <v>251</v>
      </c>
      <c r="I641" s="63"/>
      <c r="J641" s="15"/>
      <c r="K641" s="29">
        <v>43908</v>
      </c>
      <c r="L641" s="29">
        <v>46023</v>
      </c>
      <c r="M641" s="29" t="s">
        <v>219</v>
      </c>
      <c r="N641" s="29" t="s">
        <v>116</v>
      </c>
      <c r="O641" s="29" t="s">
        <v>24</v>
      </c>
      <c r="P641" s="29" t="s">
        <v>214</v>
      </c>
      <c r="Q641" s="32">
        <v>45292</v>
      </c>
      <c r="R641" s="14" t="s">
        <v>1222</v>
      </c>
      <c r="S641" s="37"/>
      <c r="T641" s="38"/>
      <c r="U641" s="30"/>
      <c r="V641" s="39"/>
      <c r="W641" s="40"/>
      <c r="X641" s="39"/>
      <c r="Y641" s="41"/>
      <c r="Z641" s="9"/>
      <c r="AA641" s="9"/>
      <c r="AB641" s="9"/>
      <c r="AC641" s="7">
        <v>314698</v>
      </c>
      <c r="AD641" s="33"/>
      <c r="AE641" s="33"/>
      <c r="AF641" s="33"/>
      <c r="AG641" s="66"/>
      <c r="AH641" s="44"/>
      <c r="AI641" s="45"/>
      <c r="AJ641" s="36"/>
      <c r="AK641" s="36"/>
    </row>
    <row r="642" spans="1:37" x14ac:dyDescent="0.3">
      <c r="A642" s="31"/>
      <c r="B642" s="13">
        <v>46216</v>
      </c>
      <c r="C642" s="70">
        <v>10016470</v>
      </c>
      <c r="D642" s="61" t="s">
        <v>1765</v>
      </c>
      <c r="E642" s="30" t="s">
        <v>1821</v>
      </c>
      <c r="F642" s="65" t="s">
        <v>1658</v>
      </c>
      <c r="G642" s="77">
        <v>46240</v>
      </c>
      <c r="H642" s="15" t="s">
        <v>251</v>
      </c>
      <c r="I642" s="63"/>
      <c r="J642" s="15"/>
      <c r="K642" s="29">
        <v>44588</v>
      </c>
      <c r="L642" s="29">
        <v>45903</v>
      </c>
      <c r="M642" s="29" t="s">
        <v>216</v>
      </c>
      <c r="N642" s="29" t="s">
        <v>139</v>
      </c>
      <c r="O642" s="29" t="s">
        <v>23</v>
      </c>
      <c r="P642" s="29" t="s">
        <v>217</v>
      </c>
      <c r="Q642" s="32">
        <v>45689</v>
      </c>
      <c r="R642" s="14" t="s">
        <v>1222</v>
      </c>
      <c r="S642" s="37"/>
      <c r="T642" s="38"/>
      <c r="U642" s="30"/>
      <c r="V642" s="39"/>
      <c r="W642" s="40"/>
      <c r="X642" s="39"/>
      <c r="Y642" s="41"/>
      <c r="Z642" s="9"/>
      <c r="AA642" s="9"/>
      <c r="AB642" s="9"/>
      <c r="AC642" s="7">
        <v>122569</v>
      </c>
      <c r="AD642" s="33"/>
      <c r="AE642" s="33"/>
      <c r="AF642" s="33"/>
      <c r="AG642" s="66"/>
      <c r="AH642" s="44"/>
      <c r="AI642" s="45"/>
      <c r="AJ642" s="36"/>
      <c r="AK642" s="36"/>
    </row>
    <row r="643" spans="1:37" x14ac:dyDescent="0.3">
      <c r="A643" s="31"/>
      <c r="B643" s="13">
        <v>46216</v>
      </c>
      <c r="C643" s="70">
        <v>10021862</v>
      </c>
      <c r="D643" s="61" t="s">
        <v>1769</v>
      </c>
      <c r="E643" s="30" t="s">
        <v>1823</v>
      </c>
      <c r="F643" s="65" t="s">
        <v>1662</v>
      </c>
      <c r="G643" s="77">
        <v>46240</v>
      </c>
      <c r="H643" s="15" t="s">
        <v>251</v>
      </c>
      <c r="I643" s="63"/>
      <c r="J643" s="15"/>
      <c r="K643" s="29">
        <v>45556</v>
      </c>
      <c r="L643" s="29">
        <v>45930</v>
      </c>
      <c r="M643" s="29" t="s">
        <v>211</v>
      </c>
      <c r="N643" s="29" t="s">
        <v>139</v>
      </c>
      <c r="O643" s="29" t="s">
        <v>23</v>
      </c>
      <c r="P643" s="29" t="s">
        <v>212</v>
      </c>
      <c r="Q643" s="32"/>
      <c r="R643" s="14" t="s">
        <v>1222</v>
      </c>
      <c r="S643" s="37"/>
      <c r="T643" s="38"/>
      <c r="U643" s="30"/>
      <c r="V643" s="39"/>
      <c r="W643" s="40"/>
      <c r="X643" s="39"/>
      <c r="Y643" s="41"/>
      <c r="Z643" s="9"/>
      <c r="AA643" s="9"/>
      <c r="AB643" s="9"/>
      <c r="AC643" s="7">
        <v>42335</v>
      </c>
      <c r="AD643" s="33"/>
      <c r="AE643" s="33"/>
      <c r="AF643" s="33"/>
      <c r="AG643" s="66"/>
      <c r="AH643" s="44"/>
      <c r="AI643" s="45"/>
      <c r="AJ643" s="36"/>
      <c r="AK643" s="36"/>
    </row>
    <row r="644" spans="1:37" x14ac:dyDescent="0.3">
      <c r="A644" s="31"/>
      <c r="B644" s="13">
        <v>46216</v>
      </c>
      <c r="C644" s="70">
        <v>10022960</v>
      </c>
      <c r="D644" s="61" t="s">
        <v>1794</v>
      </c>
      <c r="E644" s="30" t="s">
        <v>1794</v>
      </c>
      <c r="F644" s="65" t="s">
        <v>1688</v>
      </c>
      <c r="G644" s="77">
        <v>46240</v>
      </c>
      <c r="H644" s="15" t="s">
        <v>251</v>
      </c>
      <c r="I644" s="63"/>
      <c r="J644" s="15"/>
      <c r="K644" s="29">
        <v>45675</v>
      </c>
      <c r="L644" s="29">
        <v>46054</v>
      </c>
      <c r="M644" s="29" t="s">
        <v>211</v>
      </c>
      <c r="N644" s="29" t="s">
        <v>145</v>
      </c>
      <c r="O644" s="29" t="s">
        <v>24</v>
      </c>
      <c r="P644" s="29" t="s">
        <v>212</v>
      </c>
      <c r="Q644" s="32"/>
      <c r="R644" s="14" t="s">
        <v>1222</v>
      </c>
      <c r="S644" s="37"/>
      <c r="T644" s="38"/>
      <c r="U644" s="30"/>
      <c r="V644" s="39"/>
      <c r="W644" s="40"/>
      <c r="X644" s="39"/>
      <c r="Y644" s="41"/>
      <c r="Z644" s="9"/>
      <c r="AA644" s="9"/>
      <c r="AB644" s="9"/>
      <c r="AC644" s="7">
        <v>5842</v>
      </c>
      <c r="AD644" s="33"/>
      <c r="AE644" s="33"/>
      <c r="AF644" s="33"/>
      <c r="AG644" s="66"/>
      <c r="AH644" s="44"/>
      <c r="AI644" s="45"/>
      <c r="AJ644" s="36"/>
      <c r="AK644" s="36"/>
    </row>
    <row r="645" spans="1:37" x14ac:dyDescent="0.3">
      <c r="A645" s="31"/>
      <c r="B645" s="13">
        <v>46216</v>
      </c>
      <c r="C645" s="70">
        <v>10020253</v>
      </c>
      <c r="D645" s="61" t="s">
        <v>1788</v>
      </c>
      <c r="E645" s="30" t="s">
        <v>1788</v>
      </c>
      <c r="F645" s="65" t="s">
        <v>1684</v>
      </c>
      <c r="G645" s="77">
        <v>46240</v>
      </c>
      <c r="H645" s="15" t="s">
        <v>251</v>
      </c>
      <c r="I645" s="63"/>
      <c r="J645" s="15"/>
      <c r="K645" s="29">
        <v>45302</v>
      </c>
      <c r="L645" s="29">
        <v>45943</v>
      </c>
      <c r="M645" s="29" t="s">
        <v>211</v>
      </c>
      <c r="N645" s="29" t="s">
        <v>1210</v>
      </c>
      <c r="O645" s="29" t="s">
        <v>25</v>
      </c>
      <c r="P645" s="29" t="s">
        <v>212</v>
      </c>
      <c r="Q645" s="32"/>
      <c r="R645" s="14" t="s">
        <v>1222</v>
      </c>
      <c r="S645" s="37"/>
      <c r="T645" s="38"/>
      <c r="U645" s="30"/>
      <c r="V645" s="39"/>
      <c r="W645" s="40"/>
      <c r="X645" s="39"/>
      <c r="Y645" s="41"/>
      <c r="Z645" s="9"/>
      <c r="AA645" s="9"/>
      <c r="AB645" s="9"/>
      <c r="AC645" s="7">
        <v>9298</v>
      </c>
      <c r="AD645" s="33"/>
      <c r="AE645" s="33"/>
      <c r="AF645" s="33"/>
      <c r="AG645" s="66"/>
      <c r="AH645" s="44"/>
      <c r="AI645" s="45"/>
      <c r="AJ645" s="36"/>
      <c r="AK645" s="36"/>
    </row>
    <row r="646" spans="1:37" x14ac:dyDescent="0.3">
      <c r="A646" s="31"/>
      <c r="B646" s="13">
        <v>46183</v>
      </c>
      <c r="C646" s="60">
        <v>10020740</v>
      </c>
      <c r="D646" s="30" t="s">
        <v>1491</v>
      </c>
      <c r="E646" s="30" t="s">
        <v>1491</v>
      </c>
      <c r="F646" s="65" t="s">
        <v>1360</v>
      </c>
      <c r="G646" s="77">
        <v>46243</v>
      </c>
      <c r="H646" s="15" t="s">
        <v>251</v>
      </c>
      <c r="I646" s="63"/>
      <c r="J646" s="15"/>
      <c r="K646" s="29">
        <v>45361</v>
      </c>
      <c r="L646" s="29">
        <v>45762</v>
      </c>
      <c r="M646" s="29" t="s">
        <v>211</v>
      </c>
      <c r="N646" s="29" t="s">
        <v>123</v>
      </c>
      <c r="O646" s="29" t="s">
        <v>24</v>
      </c>
      <c r="P646" s="29" t="s">
        <v>212</v>
      </c>
      <c r="Q646" s="32"/>
      <c r="R646" s="14" t="s">
        <v>1222</v>
      </c>
      <c r="S646" s="37"/>
      <c r="T646" s="38"/>
      <c r="U646" s="30"/>
      <c r="V646" s="39"/>
      <c r="W646" s="40"/>
      <c r="X646" s="39"/>
      <c r="Y646" s="41"/>
      <c r="Z646" s="9"/>
      <c r="AA646" s="9"/>
      <c r="AB646" s="9"/>
      <c r="AC646" s="7">
        <v>34205</v>
      </c>
      <c r="AD646" s="33"/>
      <c r="AE646" s="33"/>
      <c r="AF646" s="33"/>
      <c r="AG646" s="66"/>
      <c r="AH646" s="44"/>
      <c r="AI646" s="45"/>
      <c r="AJ646" s="36"/>
      <c r="AK646" s="36"/>
    </row>
    <row r="647" spans="1:37" x14ac:dyDescent="0.3">
      <c r="A647" s="31"/>
      <c r="B647" s="13">
        <v>46216</v>
      </c>
      <c r="C647" s="70">
        <v>12973</v>
      </c>
      <c r="D647" s="61" t="s">
        <v>1755</v>
      </c>
      <c r="E647" s="30" t="s">
        <v>1803</v>
      </c>
      <c r="F647" s="65" t="s">
        <v>1642</v>
      </c>
      <c r="G647" s="77">
        <v>46243</v>
      </c>
      <c r="H647" s="15" t="s">
        <v>251</v>
      </c>
      <c r="I647" s="63"/>
      <c r="J647" s="15"/>
      <c r="K647" s="29">
        <v>43680</v>
      </c>
      <c r="L647" s="29">
        <v>45291</v>
      </c>
      <c r="M647" s="29" t="s">
        <v>213</v>
      </c>
      <c r="N647" s="29" t="s">
        <v>102</v>
      </c>
      <c r="O647" s="29" t="s">
        <v>24</v>
      </c>
      <c r="P647" s="29" t="s">
        <v>214</v>
      </c>
      <c r="Q647" s="32">
        <v>44562</v>
      </c>
      <c r="R647" s="14" t="s">
        <v>1222</v>
      </c>
      <c r="S647" s="37"/>
      <c r="T647" s="38"/>
      <c r="U647" s="30"/>
      <c r="V647" s="39"/>
      <c r="W647" s="40"/>
      <c r="X647" s="39"/>
      <c r="Y647" s="41"/>
      <c r="Z647" s="9"/>
      <c r="AA647" s="9"/>
      <c r="AB647" s="9"/>
      <c r="AC647" s="7">
        <v>145523</v>
      </c>
      <c r="AD647" s="33"/>
      <c r="AE647" s="33"/>
      <c r="AF647" s="33"/>
      <c r="AG647" s="66"/>
      <c r="AH647" s="44"/>
      <c r="AI647" s="45"/>
      <c r="AJ647" s="36"/>
      <c r="AK647" s="36"/>
    </row>
    <row r="648" spans="1:37" x14ac:dyDescent="0.3">
      <c r="A648" s="31"/>
      <c r="B648" s="13">
        <v>46216</v>
      </c>
      <c r="C648" s="70">
        <v>10024248</v>
      </c>
      <c r="D648" s="61" t="s">
        <v>1777</v>
      </c>
      <c r="E648" s="30" t="s">
        <v>1777</v>
      </c>
      <c r="F648" s="65" t="s">
        <v>1672</v>
      </c>
      <c r="G648" s="77">
        <v>46243</v>
      </c>
      <c r="H648" s="15" t="s">
        <v>251</v>
      </c>
      <c r="I648" s="63"/>
      <c r="J648" s="15"/>
      <c r="K648" s="29">
        <v>45886</v>
      </c>
      <c r="L648" s="29">
        <v>46142</v>
      </c>
      <c r="M648" s="29" t="s">
        <v>1209</v>
      </c>
      <c r="N648" s="29" t="s">
        <v>159</v>
      </c>
      <c r="O648" s="29" t="s">
        <v>33</v>
      </c>
      <c r="P648" s="29" t="s">
        <v>217</v>
      </c>
      <c r="Q648" s="32"/>
      <c r="R648" s="14" t="s">
        <v>1222</v>
      </c>
      <c r="S648" s="37"/>
      <c r="T648" s="38"/>
      <c r="U648" s="30"/>
      <c r="V648" s="39"/>
      <c r="W648" s="40"/>
      <c r="X648" s="39"/>
      <c r="Y648" s="41"/>
      <c r="Z648" s="9"/>
      <c r="AA648" s="9"/>
      <c r="AB648" s="9"/>
      <c r="AC648" s="7">
        <v>15285</v>
      </c>
      <c r="AD648" s="33"/>
      <c r="AE648" s="33"/>
      <c r="AF648" s="33"/>
      <c r="AG648" s="66"/>
      <c r="AH648" s="44"/>
      <c r="AI648" s="45"/>
      <c r="AJ648" s="36"/>
      <c r="AK648" s="36"/>
    </row>
    <row r="649" spans="1:37" x14ac:dyDescent="0.3">
      <c r="A649" s="31"/>
      <c r="B649" s="13">
        <v>46219</v>
      </c>
      <c r="C649" s="70">
        <v>4612</v>
      </c>
      <c r="D649" s="61" t="s">
        <v>1797</v>
      </c>
      <c r="E649" s="30" t="s">
        <v>1813</v>
      </c>
      <c r="F649" s="65" t="s">
        <v>1691</v>
      </c>
      <c r="G649" s="77">
        <v>46243</v>
      </c>
      <c r="H649" s="15" t="s">
        <v>251</v>
      </c>
      <c r="I649" s="63"/>
      <c r="J649" s="15"/>
      <c r="K649" s="29">
        <v>41007</v>
      </c>
      <c r="L649" s="29">
        <v>46132</v>
      </c>
      <c r="M649" s="29" t="s">
        <v>272</v>
      </c>
      <c r="N649" s="29" t="s">
        <v>187</v>
      </c>
      <c r="O649" s="29" t="s">
        <v>23</v>
      </c>
      <c r="P649" s="29" t="s">
        <v>273</v>
      </c>
      <c r="Q649" s="32">
        <v>46023</v>
      </c>
      <c r="R649" s="14" t="s">
        <v>1222</v>
      </c>
      <c r="S649" s="37"/>
      <c r="T649" s="38"/>
      <c r="U649" s="30"/>
      <c r="V649" s="39"/>
      <c r="W649" s="40"/>
      <c r="X649" s="39"/>
      <c r="Y649" s="41"/>
      <c r="Z649" s="9"/>
      <c r="AA649" s="9"/>
      <c r="AB649" s="9"/>
      <c r="AC649" s="7">
        <v>1080557</v>
      </c>
      <c r="AD649" s="33"/>
      <c r="AE649" s="33"/>
      <c r="AF649" s="33"/>
      <c r="AG649" s="66"/>
      <c r="AH649" s="44"/>
      <c r="AI649" s="45"/>
      <c r="AJ649" s="36"/>
      <c r="AK649" s="36"/>
    </row>
    <row r="650" spans="1:37" x14ac:dyDescent="0.3">
      <c r="A650" s="31" t="s">
        <v>1870</v>
      </c>
      <c r="B650" s="13">
        <v>46127</v>
      </c>
      <c r="C650" s="60">
        <v>30017707</v>
      </c>
      <c r="D650" s="30" t="s">
        <v>1856</v>
      </c>
      <c r="E650" s="30" t="s">
        <v>1856</v>
      </c>
      <c r="F650" s="65" t="s">
        <v>1039</v>
      </c>
      <c r="G650" s="77">
        <v>46244</v>
      </c>
      <c r="H650" s="15" t="s">
        <v>251</v>
      </c>
      <c r="I650" s="63" t="s">
        <v>916</v>
      </c>
      <c r="J650" s="15" t="s">
        <v>1314</v>
      </c>
      <c r="K650" s="29">
        <v>45543</v>
      </c>
      <c r="L650" s="29">
        <v>45870</v>
      </c>
      <c r="M650" s="29" t="s">
        <v>338</v>
      </c>
      <c r="N650" s="29" t="s">
        <v>170</v>
      </c>
      <c r="O650" s="29" t="s">
        <v>17</v>
      </c>
      <c r="P650" s="29" t="s">
        <v>221</v>
      </c>
      <c r="Q650" s="32"/>
      <c r="R650" s="14" t="s">
        <v>1222</v>
      </c>
      <c r="S650" s="37"/>
      <c r="T650" s="38"/>
      <c r="U650" s="30"/>
      <c r="V650" s="39"/>
      <c r="W650" s="40"/>
      <c r="X650" s="39"/>
      <c r="Y650" s="41"/>
      <c r="Z650" s="9"/>
      <c r="AA650" s="9"/>
      <c r="AB650" s="9"/>
      <c r="AC650" s="7">
        <v>8243</v>
      </c>
      <c r="AD650" s="33"/>
      <c r="AE650" s="33"/>
      <c r="AF650" s="33"/>
      <c r="AG650" s="66">
        <v>46310</v>
      </c>
      <c r="AH650" s="44"/>
      <c r="AI650" s="45"/>
      <c r="AJ650" s="36"/>
      <c r="AK650" s="36"/>
    </row>
    <row r="651" spans="1:37" x14ac:dyDescent="0.3">
      <c r="A651" s="31"/>
      <c r="B651" s="13">
        <v>46216</v>
      </c>
      <c r="C651" s="70">
        <v>10021903</v>
      </c>
      <c r="D651" s="61" t="s">
        <v>1747</v>
      </c>
      <c r="E651" s="30" t="s">
        <v>1747</v>
      </c>
      <c r="F651" s="65" t="s">
        <v>1632</v>
      </c>
      <c r="G651" s="77">
        <v>46244</v>
      </c>
      <c r="H651" s="15" t="s">
        <v>251</v>
      </c>
      <c r="I651" s="63"/>
      <c r="J651" s="15"/>
      <c r="K651" s="29">
        <v>45557</v>
      </c>
      <c r="L651" s="29">
        <v>45958</v>
      </c>
      <c r="M651" s="29" t="s">
        <v>211</v>
      </c>
      <c r="N651" s="29" t="s">
        <v>197</v>
      </c>
      <c r="O651" s="29" t="s">
        <v>23</v>
      </c>
      <c r="P651" s="29" t="s">
        <v>212</v>
      </c>
      <c r="Q651" s="32"/>
      <c r="R651" s="14" t="s">
        <v>1222</v>
      </c>
      <c r="S651" s="37"/>
      <c r="T651" s="38"/>
      <c r="U651" s="30"/>
      <c r="V651" s="39"/>
      <c r="W651" s="40"/>
      <c r="X651" s="39"/>
      <c r="Y651" s="41"/>
      <c r="Z651" s="9"/>
      <c r="AA651" s="9"/>
      <c r="AB651" s="9"/>
      <c r="AC651" s="7">
        <v>56892</v>
      </c>
      <c r="AD651" s="33"/>
      <c r="AE651" s="33"/>
      <c r="AF651" s="33"/>
      <c r="AG651" s="66"/>
      <c r="AH651" s="44"/>
      <c r="AI651" s="45"/>
      <c r="AJ651" s="36"/>
      <c r="AK651" s="36"/>
    </row>
    <row r="652" spans="1:37" x14ac:dyDescent="0.3">
      <c r="A652" s="31"/>
      <c r="B652" s="13">
        <v>46216</v>
      </c>
      <c r="C652" s="70">
        <v>10019410</v>
      </c>
      <c r="D652" s="61" t="s">
        <v>1716</v>
      </c>
      <c r="E652" s="30" t="s">
        <v>1716</v>
      </c>
      <c r="F652" s="65" t="s">
        <v>1645</v>
      </c>
      <c r="G652" s="77">
        <v>46244</v>
      </c>
      <c r="H652" s="15" t="s">
        <v>251</v>
      </c>
      <c r="I652" s="63"/>
      <c r="J652" s="15"/>
      <c r="K652" s="29">
        <v>45150</v>
      </c>
      <c r="L652" s="29">
        <v>46023</v>
      </c>
      <c r="M652" s="29" t="s">
        <v>219</v>
      </c>
      <c r="N652" s="29" t="s">
        <v>173</v>
      </c>
      <c r="O652" s="29" t="s">
        <v>16</v>
      </c>
      <c r="P652" s="29" t="s">
        <v>214</v>
      </c>
      <c r="Q652" s="32"/>
      <c r="R652" s="14" t="s">
        <v>1222</v>
      </c>
      <c r="S652" s="37"/>
      <c r="T652" s="38"/>
      <c r="U652" s="30"/>
      <c r="V652" s="39"/>
      <c r="W652" s="40"/>
      <c r="X652" s="39"/>
      <c r="Y652" s="41"/>
      <c r="Z652" s="9"/>
      <c r="AA652" s="9"/>
      <c r="AB652" s="9"/>
      <c r="AC652" s="7">
        <v>59056</v>
      </c>
      <c r="AD652" s="33"/>
      <c r="AE652" s="33"/>
      <c r="AF652" s="33"/>
      <c r="AG652" s="66"/>
      <c r="AH652" s="44"/>
      <c r="AI652" s="45"/>
      <c r="AJ652" s="36"/>
      <c r="AK652" s="36"/>
    </row>
    <row r="653" spans="1:37" x14ac:dyDescent="0.3">
      <c r="A653" s="31"/>
      <c r="B653" s="13">
        <v>46216</v>
      </c>
      <c r="C653" s="70">
        <v>10019968</v>
      </c>
      <c r="D653" s="61" t="s">
        <v>1766</v>
      </c>
      <c r="E653" s="30" t="s">
        <v>1766</v>
      </c>
      <c r="F653" s="65" t="s">
        <v>1660</v>
      </c>
      <c r="G653" s="77">
        <v>46244</v>
      </c>
      <c r="H653" s="15" t="s">
        <v>251</v>
      </c>
      <c r="I653" s="63"/>
      <c r="J653" s="15"/>
      <c r="K653" s="29">
        <v>45272</v>
      </c>
      <c r="L653" s="29">
        <v>45962</v>
      </c>
      <c r="M653" s="29" t="s">
        <v>211</v>
      </c>
      <c r="N653" s="29" t="s">
        <v>164</v>
      </c>
      <c r="O653" s="29" t="s">
        <v>23</v>
      </c>
      <c r="P653" s="29" t="s">
        <v>212</v>
      </c>
      <c r="Q653" s="32"/>
      <c r="R653" s="14" t="s">
        <v>1222</v>
      </c>
      <c r="S653" s="37"/>
      <c r="T653" s="38"/>
      <c r="U653" s="30"/>
      <c r="V653" s="39"/>
      <c r="W653" s="40"/>
      <c r="X653" s="39"/>
      <c r="Y653" s="41"/>
      <c r="Z653" s="9"/>
      <c r="AA653" s="9"/>
      <c r="AB653" s="9"/>
      <c r="AC653" s="7">
        <v>61048</v>
      </c>
      <c r="AD653" s="33"/>
      <c r="AE653" s="33"/>
      <c r="AF653" s="33"/>
      <c r="AG653" s="66"/>
      <c r="AH653" s="44"/>
      <c r="AI653" s="45"/>
      <c r="AJ653" s="36"/>
      <c r="AK653" s="36"/>
    </row>
    <row r="654" spans="1:37" x14ac:dyDescent="0.3">
      <c r="A654" s="31"/>
      <c r="B654" s="13">
        <v>46216</v>
      </c>
      <c r="C654" s="70">
        <v>10023970</v>
      </c>
      <c r="D654" s="61" t="s">
        <v>1786</v>
      </c>
      <c r="E654" s="30" t="s">
        <v>1786</v>
      </c>
      <c r="F654" s="65" t="s">
        <v>1681</v>
      </c>
      <c r="G654" s="77">
        <v>46244</v>
      </c>
      <c r="H654" s="15" t="s">
        <v>251</v>
      </c>
      <c r="I654" s="63"/>
      <c r="J654" s="15"/>
      <c r="K654" s="29">
        <v>45838</v>
      </c>
      <c r="L654" s="29">
        <v>46027</v>
      </c>
      <c r="M654" s="29" t="s">
        <v>211</v>
      </c>
      <c r="N654" s="29" t="s">
        <v>853</v>
      </c>
      <c r="O654" s="29" t="s">
        <v>23</v>
      </c>
      <c r="P654" s="29" t="s">
        <v>212</v>
      </c>
      <c r="Q654" s="32"/>
      <c r="R654" s="14" t="s">
        <v>1222</v>
      </c>
      <c r="S654" s="37"/>
      <c r="T654" s="38"/>
      <c r="U654" s="30"/>
      <c r="V654" s="39"/>
      <c r="W654" s="40"/>
      <c r="X654" s="39"/>
      <c r="Y654" s="41"/>
      <c r="Z654" s="9"/>
      <c r="AA654" s="9"/>
      <c r="AB654" s="9"/>
      <c r="AC654" s="7">
        <v>3010</v>
      </c>
      <c r="AD654" s="33"/>
      <c r="AE654" s="33"/>
      <c r="AF654" s="33"/>
      <c r="AG654" s="66"/>
      <c r="AH654" s="44"/>
      <c r="AI654" s="45"/>
      <c r="AJ654" s="36"/>
      <c r="AK654" s="36"/>
    </row>
    <row r="655" spans="1:37" x14ac:dyDescent="0.3">
      <c r="A655" s="31"/>
      <c r="B655" s="13"/>
      <c r="C655" s="70">
        <v>10753</v>
      </c>
      <c r="D655" s="61"/>
      <c r="E655" s="30"/>
      <c r="F655" s="65" t="s">
        <v>1868</v>
      </c>
      <c r="G655" s="77">
        <v>46244</v>
      </c>
      <c r="H655" s="15" t="s">
        <v>251</v>
      </c>
      <c r="I655" s="63"/>
      <c r="J655" s="15"/>
      <c r="K655" s="29">
        <v>43160</v>
      </c>
      <c r="L655" s="29">
        <v>46113</v>
      </c>
      <c r="M655" t="s">
        <v>307</v>
      </c>
      <c r="N655" s="29"/>
      <c r="O655" t="s">
        <v>17</v>
      </c>
      <c r="P655" s="29"/>
      <c r="Q655" s="78">
        <v>45292</v>
      </c>
      <c r="R655" s="14" t="s">
        <v>1222</v>
      </c>
      <c r="S655" s="37"/>
      <c r="T655" s="38"/>
      <c r="U655" s="30"/>
      <c r="V655" s="39"/>
      <c r="W655" s="40"/>
      <c r="X655" s="39"/>
      <c r="Y655" s="41"/>
      <c r="Z655" s="9"/>
      <c r="AA655" s="9"/>
      <c r="AB655" s="9"/>
      <c r="AC655" s="7"/>
      <c r="AD655" s="33"/>
      <c r="AE655" s="33"/>
      <c r="AF655" s="33"/>
      <c r="AG655" s="66"/>
      <c r="AH655" s="44"/>
      <c r="AI655" s="45"/>
      <c r="AJ655" s="36"/>
      <c r="AK655" s="36"/>
    </row>
    <row r="656" spans="1:37" x14ac:dyDescent="0.3">
      <c r="A656" s="31"/>
      <c r="B656" s="13">
        <v>46216</v>
      </c>
      <c r="C656" s="70">
        <v>10024225</v>
      </c>
      <c r="D656" s="61" t="s">
        <v>1738</v>
      </c>
      <c r="E656" s="30" t="s">
        <v>1738</v>
      </c>
      <c r="F656" s="65" t="s">
        <v>1623</v>
      </c>
      <c r="G656" s="77">
        <v>46244</v>
      </c>
      <c r="H656" s="15" t="s">
        <v>251</v>
      </c>
      <c r="I656" s="63"/>
      <c r="J656" s="15"/>
      <c r="K656" s="29">
        <v>45880</v>
      </c>
      <c r="L656" s="29">
        <v>46155</v>
      </c>
      <c r="M656" s="29" t="s">
        <v>331</v>
      </c>
      <c r="N656" s="29" t="s">
        <v>266</v>
      </c>
      <c r="O656" s="29" t="s">
        <v>1694</v>
      </c>
      <c r="P656" s="29" t="s">
        <v>217</v>
      </c>
      <c r="Q656" s="32"/>
      <c r="R656" s="14" t="s">
        <v>1222</v>
      </c>
      <c r="S656" s="37"/>
      <c r="T656" s="38"/>
      <c r="U656" s="30"/>
      <c r="V656" s="39"/>
      <c r="W656" s="40"/>
      <c r="X656" s="39"/>
      <c r="Y656" s="41"/>
      <c r="Z656" s="9"/>
      <c r="AA656" s="9"/>
      <c r="AB656" s="9"/>
      <c r="AC656" s="7">
        <v>30523</v>
      </c>
      <c r="AD656" s="33"/>
      <c r="AE656" s="33"/>
      <c r="AF656" s="33"/>
      <c r="AG656" s="66"/>
      <c r="AH656" s="44"/>
      <c r="AI656" s="45"/>
      <c r="AJ656" s="36"/>
      <c r="AK656" s="36"/>
    </row>
    <row r="657" spans="1:37" x14ac:dyDescent="0.3">
      <c r="A657" s="31"/>
      <c r="B657" s="13">
        <v>46216</v>
      </c>
      <c r="C657" s="70">
        <v>10019063</v>
      </c>
      <c r="D657" s="61" t="s">
        <v>1717</v>
      </c>
      <c r="E657" s="30" t="s">
        <v>1717</v>
      </c>
      <c r="F657" s="65" t="s">
        <v>1652</v>
      </c>
      <c r="G657" s="77">
        <v>46244</v>
      </c>
      <c r="H657" s="15" t="s">
        <v>251</v>
      </c>
      <c r="I657" s="63"/>
      <c r="J657" s="15"/>
      <c r="K657" s="29">
        <v>45103</v>
      </c>
      <c r="L657" s="29">
        <v>46023</v>
      </c>
      <c r="M657" s="29" t="s">
        <v>216</v>
      </c>
      <c r="N657" s="29" t="s">
        <v>182</v>
      </c>
      <c r="O657" s="29" t="s">
        <v>23</v>
      </c>
      <c r="P657" s="29" t="s">
        <v>217</v>
      </c>
      <c r="Q657" s="32"/>
      <c r="R657" s="14" t="s">
        <v>1222</v>
      </c>
      <c r="S657" s="37"/>
      <c r="T657" s="38"/>
      <c r="U657" s="30"/>
      <c r="V657" s="39"/>
      <c r="W657" s="40"/>
      <c r="X657" s="39"/>
      <c r="Y657" s="41"/>
      <c r="Z657" s="9"/>
      <c r="AA657" s="9"/>
      <c r="AB657" s="9"/>
      <c r="AC657" s="7">
        <v>167138</v>
      </c>
      <c r="AD657" s="33"/>
      <c r="AE657" s="33"/>
      <c r="AF657" s="33"/>
      <c r="AG657" s="66"/>
      <c r="AH657" s="44"/>
      <c r="AI657" s="45"/>
      <c r="AJ657" s="36"/>
      <c r="AK657" s="36"/>
    </row>
    <row r="658" spans="1:37" x14ac:dyDescent="0.3">
      <c r="A658" s="31"/>
      <c r="B658" s="13">
        <v>46216</v>
      </c>
      <c r="C658" s="70">
        <v>10019087</v>
      </c>
      <c r="D658" s="61" t="s">
        <v>1720</v>
      </c>
      <c r="E658" s="30" t="s">
        <v>1720</v>
      </c>
      <c r="F658" s="65" t="s">
        <v>1656</v>
      </c>
      <c r="G658" s="77">
        <v>46244</v>
      </c>
      <c r="H658" s="15" t="s">
        <v>251</v>
      </c>
      <c r="I658" s="63"/>
      <c r="J658" s="15"/>
      <c r="K658" s="29">
        <v>45113</v>
      </c>
      <c r="L658" s="29">
        <v>45878</v>
      </c>
      <c r="M658" s="29" t="s">
        <v>211</v>
      </c>
      <c r="N658" s="29" t="s">
        <v>189</v>
      </c>
      <c r="O658" s="29" t="s">
        <v>23</v>
      </c>
      <c r="P658" s="29" t="s">
        <v>212</v>
      </c>
      <c r="Q658" s="32"/>
      <c r="R658" s="14" t="s">
        <v>1222</v>
      </c>
      <c r="S658" s="37"/>
      <c r="T658" s="38"/>
      <c r="U658" s="30"/>
      <c r="V658" s="39"/>
      <c r="W658" s="40"/>
      <c r="X658" s="39"/>
      <c r="Y658" s="41"/>
      <c r="Z658" s="9"/>
      <c r="AA658" s="9"/>
      <c r="AB658" s="9"/>
      <c r="AC658" s="7">
        <v>72047</v>
      </c>
      <c r="AD658" s="33"/>
      <c r="AE658" s="33"/>
      <c r="AF658" s="33"/>
      <c r="AG658" s="66"/>
      <c r="AH658" s="44"/>
      <c r="AI658" s="45"/>
      <c r="AJ658" s="36"/>
      <c r="AK658" s="36"/>
    </row>
    <row r="659" spans="1:37" x14ac:dyDescent="0.3">
      <c r="A659" s="31"/>
      <c r="B659" s="13">
        <v>46183</v>
      </c>
      <c r="C659" s="60">
        <v>10021757</v>
      </c>
      <c r="D659" s="30" t="s">
        <v>1523</v>
      </c>
      <c r="E659" s="30" t="s">
        <v>1523</v>
      </c>
      <c r="F659" s="65" t="s">
        <v>1286</v>
      </c>
      <c r="G659" s="77">
        <v>46246</v>
      </c>
      <c r="H659" s="15" t="s">
        <v>251</v>
      </c>
      <c r="I659" s="63"/>
      <c r="J659" s="15" t="s">
        <v>1862</v>
      </c>
      <c r="K659" s="29">
        <v>45538</v>
      </c>
      <c r="L659" s="29">
        <v>45901</v>
      </c>
      <c r="M659" s="29" t="s">
        <v>211</v>
      </c>
      <c r="N659" s="29" t="s">
        <v>160</v>
      </c>
      <c r="O659" s="29" t="s">
        <v>24</v>
      </c>
      <c r="P659" s="29" t="s">
        <v>212</v>
      </c>
      <c r="Q659" s="32"/>
      <c r="R659" s="14" t="s">
        <v>1222</v>
      </c>
      <c r="S659" s="37"/>
      <c r="T659" s="38"/>
      <c r="U659" s="30"/>
      <c r="V659" s="39"/>
      <c r="W659" s="40"/>
      <c r="X659" s="39"/>
      <c r="Y659" s="41"/>
      <c r="Z659" s="9"/>
      <c r="AA659" s="9"/>
      <c r="AB659" s="9"/>
      <c r="AC659" s="7">
        <v>18001</v>
      </c>
      <c r="AD659" s="33"/>
      <c r="AE659" s="33"/>
      <c r="AF659" s="33"/>
      <c r="AG659" s="66"/>
      <c r="AH659" s="44"/>
      <c r="AI659" s="45"/>
      <c r="AJ659" s="36"/>
      <c r="AK659" s="36"/>
    </row>
    <row r="660" spans="1:37" x14ac:dyDescent="0.3">
      <c r="A660" s="31"/>
      <c r="B660" s="13">
        <v>46216</v>
      </c>
      <c r="C660" s="70">
        <v>10021909</v>
      </c>
      <c r="D660" s="61" t="s">
        <v>1739</v>
      </c>
      <c r="E660" s="30" t="s">
        <v>1739</v>
      </c>
      <c r="F660" s="65" t="s">
        <v>68</v>
      </c>
      <c r="G660" s="77">
        <v>46246</v>
      </c>
      <c r="H660" s="15" t="s">
        <v>251</v>
      </c>
      <c r="I660" s="63"/>
      <c r="J660" s="15"/>
      <c r="K660" s="29">
        <v>45559</v>
      </c>
      <c r="L660" s="29">
        <v>45901</v>
      </c>
      <c r="M660" s="29" t="s">
        <v>211</v>
      </c>
      <c r="N660" s="29" t="s">
        <v>572</v>
      </c>
      <c r="O660" s="29" t="s">
        <v>16</v>
      </c>
      <c r="P660" s="29" t="s">
        <v>212</v>
      </c>
      <c r="Q660" s="32"/>
      <c r="R660" s="14" t="s">
        <v>1222</v>
      </c>
      <c r="S660" s="37"/>
      <c r="T660" s="38"/>
      <c r="U660" s="30"/>
      <c r="V660" s="39"/>
      <c r="W660" s="40"/>
      <c r="X660" s="39"/>
      <c r="Y660" s="41"/>
      <c r="Z660" s="9"/>
      <c r="AA660" s="9"/>
      <c r="AB660" s="9"/>
      <c r="AC660" s="7">
        <v>34115</v>
      </c>
      <c r="AD660" s="33"/>
      <c r="AE660" s="33"/>
      <c r="AF660" s="33"/>
      <c r="AG660" s="66"/>
      <c r="AH660" s="44"/>
      <c r="AI660" s="45"/>
      <c r="AJ660" s="36"/>
      <c r="AK660" s="36"/>
    </row>
    <row r="661" spans="1:37" x14ac:dyDescent="0.3">
      <c r="A661" s="31"/>
      <c r="B661" s="13">
        <v>46216</v>
      </c>
      <c r="C661" s="70">
        <v>10019620</v>
      </c>
      <c r="D661" s="61" t="s">
        <v>1718</v>
      </c>
      <c r="E661" s="30" t="s">
        <v>1718</v>
      </c>
      <c r="F661" s="65" t="s">
        <v>1653</v>
      </c>
      <c r="G661" s="77">
        <v>46246</v>
      </c>
      <c r="H661" s="15" t="s">
        <v>251</v>
      </c>
      <c r="I661" s="63"/>
      <c r="J661" s="15"/>
      <c r="K661" s="29">
        <v>45200</v>
      </c>
      <c r="L661" s="29">
        <v>46131</v>
      </c>
      <c r="M661" s="29" t="s">
        <v>290</v>
      </c>
      <c r="N661" s="29" t="s">
        <v>121</v>
      </c>
      <c r="O661" s="29" t="s">
        <v>28</v>
      </c>
      <c r="P661" s="29" t="s">
        <v>281</v>
      </c>
      <c r="Q661" s="32"/>
      <c r="R661" s="14" t="s">
        <v>1223</v>
      </c>
      <c r="S661" s="37"/>
      <c r="T661" s="38"/>
      <c r="U661" s="30"/>
      <c r="V661" s="39"/>
      <c r="W661" s="40"/>
      <c r="X661" s="39"/>
      <c r="Y661" s="41"/>
      <c r="Z661" s="9"/>
      <c r="AA661" s="9"/>
      <c r="AB661" s="9"/>
      <c r="AC661" s="7">
        <v>155077</v>
      </c>
      <c r="AD661" s="33"/>
      <c r="AE661" s="33"/>
      <c r="AF661" s="33"/>
      <c r="AG661" s="66"/>
      <c r="AH661" s="44"/>
      <c r="AI661" s="45"/>
      <c r="AJ661" s="36"/>
      <c r="AK661" s="36"/>
    </row>
    <row r="662" spans="1:37" x14ac:dyDescent="0.3">
      <c r="A662" s="31"/>
      <c r="B662" s="13">
        <v>46216</v>
      </c>
      <c r="C662" s="70">
        <v>10020959</v>
      </c>
      <c r="D662" s="61" t="s">
        <v>1763</v>
      </c>
      <c r="E662" s="30" t="s">
        <v>1763</v>
      </c>
      <c r="F662" s="65" t="s">
        <v>1654</v>
      </c>
      <c r="G662" s="77">
        <v>46246</v>
      </c>
      <c r="H662" s="15" t="s">
        <v>251</v>
      </c>
      <c r="I662" s="63"/>
      <c r="J662" s="15"/>
      <c r="K662" s="29">
        <v>45408</v>
      </c>
      <c r="L662" s="29">
        <v>46029</v>
      </c>
      <c r="M662" s="29" t="s">
        <v>211</v>
      </c>
      <c r="N662" s="29" t="s">
        <v>190</v>
      </c>
      <c r="O662" s="29" t="s">
        <v>23</v>
      </c>
      <c r="P662" s="29" t="s">
        <v>212</v>
      </c>
      <c r="Q662" s="32"/>
      <c r="R662" s="14" t="s">
        <v>1222</v>
      </c>
      <c r="S662" s="37"/>
      <c r="T662" s="38"/>
      <c r="U662" s="30"/>
      <c r="V662" s="39"/>
      <c r="W662" s="40"/>
      <c r="X662" s="39"/>
      <c r="Y662" s="41"/>
      <c r="Z662" s="9"/>
      <c r="AA662" s="9"/>
      <c r="AB662" s="9"/>
      <c r="AC662" s="7">
        <v>64832</v>
      </c>
      <c r="AD662" s="33"/>
      <c r="AE662" s="33"/>
      <c r="AF662" s="33"/>
      <c r="AG662" s="66"/>
      <c r="AH662" s="44"/>
      <c r="AI662" s="45"/>
      <c r="AJ662" s="36"/>
      <c r="AK662" s="36"/>
    </row>
    <row r="663" spans="1:37" x14ac:dyDescent="0.3">
      <c r="A663" s="31"/>
      <c r="B663" s="13">
        <v>46216</v>
      </c>
      <c r="C663" s="70">
        <v>10024701</v>
      </c>
      <c r="D663" s="61" t="s">
        <v>1773</v>
      </c>
      <c r="E663" s="30" t="s">
        <v>1773</v>
      </c>
      <c r="F663" s="65" t="s">
        <v>1668</v>
      </c>
      <c r="G663" s="77">
        <v>46246</v>
      </c>
      <c r="H663" s="15" t="s">
        <v>251</v>
      </c>
      <c r="I663" s="63"/>
      <c r="J663" s="15"/>
      <c r="K663" s="29">
        <v>45943</v>
      </c>
      <c r="L663" s="29">
        <v>46027</v>
      </c>
      <c r="M663" s="29" t="s">
        <v>219</v>
      </c>
      <c r="N663" s="29" t="s">
        <v>346</v>
      </c>
      <c r="O663" s="29" t="s">
        <v>25</v>
      </c>
      <c r="P663" s="29" t="s">
        <v>214</v>
      </c>
      <c r="Q663" s="32"/>
      <c r="R663" s="14" t="s">
        <v>1222</v>
      </c>
      <c r="S663" s="37"/>
      <c r="T663" s="38"/>
      <c r="U663" s="30"/>
      <c r="V663" s="39"/>
      <c r="W663" s="40"/>
      <c r="X663" s="39"/>
      <c r="Y663" s="41"/>
      <c r="Z663" s="9"/>
      <c r="AA663" s="9"/>
      <c r="AB663" s="9"/>
      <c r="AC663" s="7">
        <v>16377</v>
      </c>
      <c r="AD663" s="33"/>
      <c r="AE663" s="33"/>
      <c r="AF663" s="33"/>
      <c r="AG663" s="66"/>
      <c r="AH663" s="44"/>
      <c r="AI663" s="45"/>
      <c r="AJ663" s="36"/>
      <c r="AK663" s="36"/>
    </row>
    <row r="664" spans="1:37" x14ac:dyDescent="0.3">
      <c r="A664" s="31"/>
      <c r="B664" s="13"/>
      <c r="C664" s="70">
        <v>15347</v>
      </c>
      <c r="D664" s="61"/>
      <c r="E664" s="30"/>
      <c r="F664" s="65" t="s">
        <v>1869</v>
      </c>
      <c r="G664" s="77">
        <v>46246</v>
      </c>
      <c r="H664" s="15" t="s">
        <v>251</v>
      </c>
      <c r="I664" s="63"/>
      <c r="J664" s="15"/>
      <c r="K664" s="29">
        <v>44318</v>
      </c>
      <c r="L664" s="29">
        <v>46152</v>
      </c>
      <c r="M664" t="s">
        <v>284</v>
      </c>
      <c r="N664" s="29"/>
      <c r="O664" t="s">
        <v>28</v>
      </c>
      <c r="P664" s="29"/>
      <c r="Q664" s="78">
        <v>45658</v>
      </c>
      <c r="R664" s="14" t="s">
        <v>1223</v>
      </c>
      <c r="S664" s="37"/>
      <c r="T664" s="38"/>
      <c r="U664" s="30"/>
      <c r="V664" s="39"/>
      <c r="W664" s="40"/>
      <c r="X664" s="39"/>
      <c r="Y664" s="41"/>
      <c r="Z664" s="9"/>
      <c r="AA664" s="9"/>
      <c r="AB664" s="9"/>
      <c r="AC664" s="7"/>
      <c r="AD664" s="33"/>
      <c r="AE664" s="33"/>
      <c r="AF664" s="33"/>
      <c r="AG664" s="66"/>
      <c r="AH664" s="44"/>
      <c r="AI664" s="45"/>
      <c r="AJ664" s="36"/>
      <c r="AK664" s="36"/>
    </row>
    <row r="665" spans="1:37" x14ac:dyDescent="0.3">
      <c r="A665" s="31"/>
      <c r="B665" s="13">
        <v>46183</v>
      </c>
      <c r="C665" s="60">
        <v>10022752</v>
      </c>
      <c r="D665" s="30" t="s">
        <v>1527</v>
      </c>
      <c r="E665" s="30" t="s">
        <v>1527</v>
      </c>
      <c r="F665" s="65" t="s">
        <v>1398</v>
      </c>
      <c r="G665" s="77">
        <v>46247</v>
      </c>
      <c r="H665" s="15" t="s">
        <v>251</v>
      </c>
      <c r="I665" s="63"/>
      <c r="J665" s="15"/>
      <c r="K665" s="29">
        <v>45655</v>
      </c>
      <c r="L665" s="29">
        <v>46023</v>
      </c>
      <c r="M665" s="29" t="s">
        <v>211</v>
      </c>
      <c r="N665" s="29" t="s">
        <v>173</v>
      </c>
      <c r="O665" s="29" t="s">
        <v>16</v>
      </c>
      <c r="P665" s="29" t="s">
        <v>212</v>
      </c>
      <c r="Q665" s="32"/>
      <c r="R665" s="14" t="s">
        <v>1222</v>
      </c>
      <c r="S665" s="37"/>
      <c r="T665" s="38"/>
      <c r="U665" s="30"/>
      <c r="V665" s="39"/>
      <c r="W665" s="40"/>
      <c r="X665" s="39"/>
      <c r="Y665" s="41"/>
      <c r="Z665" s="9"/>
      <c r="AA665" s="9"/>
      <c r="AB665" s="9"/>
      <c r="AC665" s="7">
        <v>11351</v>
      </c>
      <c r="AD665" s="33"/>
      <c r="AE665" s="33"/>
      <c r="AF665" s="33"/>
      <c r="AG665" s="66"/>
      <c r="AH665" s="44"/>
      <c r="AI665" s="45"/>
      <c r="AJ665" s="36"/>
      <c r="AK665" s="36"/>
    </row>
    <row r="666" spans="1:37" x14ac:dyDescent="0.3">
      <c r="A666" s="31"/>
      <c r="B666" s="13">
        <v>46216</v>
      </c>
      <c r="C666" s="70">
        <v>10018900</v>
      </c>
      <c r="D666" s="61" t="s">
        <v>1710</v>
      </c>
      <c r="E666" s="30" t="s">
        <v>1819</v>
      </c>
      <c r="F666" s="65" t="s">
        <v>1633</v>
      </c>
      <c r="G666" s="77">
        <v>46247</v>
      </c>
      <c r="H666" s="15" t="s">
        <v>251</v>
      </c>
      <c r="I666" s="63"/>
      <c r="J666" s="15"/>
      <c r="K666" s="29">
        <v>45068</v>
      </c>
      <c r="L666" s="29">
        <v>45931</v>
      </c>
      <c r="M666" s="29" t="s">
        <v>211</v>
      </c>
      <c r="N666" s="29" t="s">
        <v>118</v>
      </c>
      <c r="O666" s="29" t="s">
        <v>23</v>
      </c>
      <c r="P666" s="29" t="s">
        <v>212</v>
      </c>
      <c r="Q666" s="32"/>
      <c r="R666" s="14" t="s">
        <v>1222</v>
      </c>
      <c r="S666" s="37"/>
      <c r="T666" s="38"/>
      <c r="U666" s="30"/>
      <c r="V666" s="39"/>
      <c r="W666" s="40"/>
      <c r="X666" s="39"/>
      <c r="Y666" s="41"/>
      <c r="Z666" s="9"/>
      <c r="AA666" s="9"/>
      <c r="AB666" s="9"/>
      <c r="AC666" s="7">
        <v>73293</v>
      </c>
      <c r="AD666" s="33"/>
      <c r="AE666" s="33"/>
      <c r="AF666" s="33"/>
      <c r="AG666" s="66"/>
      <c r="AH666" s="44"/>
      <c r="AI666" s="45"/>
      <c r="AJ666" s="36"/>
      <c r="AK666" s="36"/>
    </row>
    <row r="667" spans="1:37" x14ac:dyDescent="0.3">
      <c r="A667" s="31"/>
      <c r="B667" s="13">
        <v>46216</v>
      </c>
      <c r="C667" s="70">
        <v>10018690</v>
      </c>
      <c r="D667" s="61" t="s">
        <v>1715</v>
      </c>
      <c r="E667" s="30" t="s">
        <v>1804</v>
      </c>
      <c r="F667" s="65" t="s">
        <v>1643</v>
      </c>
      <c r="G667" s="77">
        <v>46247</v>
      </c>
      <c r="H667" s="15" t="s">
        <v>251</v>
      </c>
      <c r="I667" s="63"/>
      <c r="J667" s="15"/>
      <c r="K667" s="29">
        <v>45047</v>
      </c>
      <c r="L667" s="29">
        <v>45931</v>
      </c>
      <c r="M667" s="29" t="s">
        <v>219</v>
      </c>
      <c r="N667" s="29" t="s">
        <v>168</v>
      </c>
      <c r="O667" s="29" t="s">
        <v>23</v>
      </c>
      <c r="P667" s="29" t="s">
        <v>214</v>
      </c>
      <c r="Q667" s="32"/>
      <c r="R667" s="14" t="s">
        <v>1222</v>
      </c>
      <c r="S667" s="37"/>
      <c r="T667" s="38"/>
      <c r="U667" s="30"/>
      <c r="V667" s="39"/>
      <c r="W667" s="40"/>
      <c r="X667" s="39"/>
      <c r="Y667" s="41"/>
      <c r="Z667" s="9"/>
      <c r="AA667" s="9"/>
      <c r="AB667" s="9"/>
      <c r="AC667" s="7">
        <v>62447</v>
      </c>
      <c r="AD667" s="33"/>
      <c r="AE667" s="33"/>
      <c r="AF667" s="33"/>
      <c r="AG667" s="66"/>
      <c r="AH667" s="44"/>
      <c r="AI667" s="45"/>
      <c r="AJ667" s="36"/>
      <c r="AK667" s="36"/>
    </row>
    <row r="668" spans="1:37" x14ac:dyDescent="0.3">
      <c r="A668" s="43"/>
      <c r="B668" s="13">
        <v>46226</v>
      </c>
      <c r="C668" s="70">
        <v>4174</v>
      </c>
      <c r="D668" s="59" t="s">
        <v>1886</v>
      </c>
      <c r="E668" s="59" t="s">
        <v>1887</v>
      </c>
      <c r="F668" s="81" t="s">
        <v>1871</v>
      </c>
      <c r="G668" s="77">
        <v>46247</v>
      </c>
      <c r="H668" s="15" t="s">
        <v>251</v>
      </c>
      <c r="I668" s="15"/>
      <c r="J668" s="15"/>
      <c r="K668" s="29">
        <v>40831</v>
      </c>
      <c r="L668" s="29">
        <v>46053</v>
      </c>
      <c r="M668" s="29" t="s">
        <v>215</v>
      </c>
      <c r="N668" s="29" t="s">
        <v>181</v>
      </c>
      <c r="O668" s="29" t="s">
        <v>23</v>
      </c>
      <c r="P668" s="29" t="s">
        <v>223</v>
      </c>
      <c r="Q668" s="32">
        <v>46023</v>
      </c>
      <c r="R668" s="14" t="s">
        <v>1222</v>
      </c>
      <c r="S668" s="37"/>
      <c r="T668" s="38"/>
      <c r="U668" s="30"/>
      <c r="V668" s="39"/>
      <c r="W668" s="40"/>
      <c r="X668" s="39"/>
      <c r="Y668" s="41"/>
      <c r="Z668" s="9"/>
      <c r="AA668" s="9"/>
      <c r="AB668" s="9"/>
      <c r="AC668" s="82">
        <v>1434296</v>
      </c>
      <c r="AD668" s="33"/>
      <c r="AE668" s="33"/>
      <c r="AF668" s="33"/>
      <c r="AG668" s="33"/>
      <c r="AH668" s="44"/>
      <c r="AI668" s="45"/>
      <c r="AJ668" s="36"/>
      <c r="AK668" s="36"/>
    </row>
    <row r="669" spans="1:37" x14ac:dyDescent="0.3">
      <c r="A669" s="31"/>
      <c r="B669" s="13">
        <v>46216</v>
      </c>
      <c r="C669" s="70">
        <v>10559</v>
      </c>
      <c r="D669" s="61" t="s">
        <v>1727</v>
      </c>
      <c r="E669" s="30"/>
      <c r="F669" s="65" t="s">
        <v>1612</v>
      </c>
      <c r="G669" s="77">
        <v>46250</v>
      </c>
      <c r="H669" s="15" t="s">
        <v>251</v>
      </c>
      <c r="I669" s="63"/>
      <c r="J669" s="15"/>
      <c r="K669" s="29">
        <v>43107</v>
      </c>
      <c r="L669" s="29">
        <v>46023</v>
      </c>
      <c r="M669" s="29" t="s">
        <v>216</v>
      </c>
      <c r="N669" s="29" t="s">
        <v>103</v>
      </c>
      <c r="O669" s="29" t="s">
        <v>23</v>
      </c>
      <c r="P669" s="29" t="s">
        <v>217</v>
      </c>
      <c r="Q669" s="32">
        <v>45505</v>
      </c>
      <c r="R669" s="14" t="s">
        <v>1222</v>
      </c>
      <c r="S669" s="37"/>
      <c r="T669" s="38"/>
      <c r="U669" s="30"/>
      <c r="V669" s="39"/>
      <c r="W669" s="40"/>
      <c r="X669" s="39"/>
      <c r="Y669" s="41"/>
      <c r="Z669" s="9"/>
      <c r="AA669" s="9"/>
      <c r="AB669" s="9"/>
      <c r="AC669" s="7">
        <v>654805</v>
      </c>
      <c r="AD669" s="33"/>
      <c r="AE669" s="33"/>
      <c r="AF669" s="33"/>
      <c r="AG669" s="66"/>
      <c r="AH669" s="44"/>
      <c r="AI669" s="45"/>
      <c r="AJ669" s="36"/>
      <c r="AK669" s="36"/>
    </row>
    <row r="670" spans="1:37" x14ac:dyDescent="0.3">
      <c r="A670" s="31"/>
      <c r="B670" s="13">
        <v>46216</v>
      </c>
      <c r="C670" s="70">
        <v>10020596</v>
      </c>
      <c r="D670" s="61" t="s">
        <v>1741</v>
      </c>
      <c r="E670" s="30" t="s">
        <v>1741</v>
      </c>
      <c r="F670" s="65" t="s">
        <v>1625</v>
      </c>
      <c r="G670" s="77">
        <v>46250</v>
      </c>
      <c r="H670" s="15" t="s">
        <v>251</v>
      </c>
      <c r="I670" s="63"/>
      <c r="J670" s="15"/>
      <c r="K670" s="29">
        <v>45335</v>
      </c>
      <c r="L670" s="29">
        <v>46021</v>
      </c>
      <c r="M670" s="29" t="s">
        <v>216</v>
      </c>
      <c r="N670" s="29" t="s">
        <v>191</v>
      </c>
      <c r="O670" s="29" t="s">
        <v>23</v>
      </c>
      <c r="P670" s="29" t="s">
        <v>217</v>
      </c>
      <c r="Q670" s="32">
        <v>45992</v>
      </c>
      <c r="R670" s="14" t="s">
        <v>1222</v>
      </c>
      <c r="S670" s="37"/>
      <c r="T670" s="38"/>
      <c r="U670" s="30"/>
      <c r="V670" s="39"/>
      <c r="W670" s="40"/>
      <c r="X670" s="39"/>
      <c r="Y670" s="41"/>
      <c r="Z670" s="9"/>
      <c r="AA670" s="9"/>
      <c r="AB670" s="9"/>
      <c r="AC670" s="7">
        <v>58594</v>
      </c>
      <c r="AD670" s="33"/>
      <c r="AE670" s="33"/>
      <c r="AF670" s="33"/>
      <c r="AG670" s="66"/>
      <c r="AH670" s="44"/>
      <c r="AI670" s="45"/>
      <c r="AJ670" s="36"/>
      <c r="AK670" s="36"/>
    </row>
    <row r="671" spans="1:37" x14ac:dyDescent="0.3">
      <c r="A671" s="31"/>
      <c r="B671" s="13">
        <v>46216</v>
      </c>
      <c r="C671" s="70">
        <v>10022080</v>
      </c>
      <c r="D671" s="61" t="s">
        <v>1771</v>
      </c>
      <c r="E671" s="30" t="s">
        <v>1771</v>
      </c>
      <c r="F671" s="65" t="s">
        <v>1665</v>
      </c>
      <c r="G671" s="77">
        <v>46250</v>
      </c>
      <c r="H671" s="15" t="s">
        <v>251</v>
      </c>
      <c r="I671" s="63" t="s">
        <v>916</v>
      </c>
      <c r="J671" s="15"/>
      <c r="K671" s="29">
        <v>45575</v>
      </c>
      <c r="L671" s="29">
        <v>45931</v>
      </c>
      <c r="M671" s="29" t="s">
        <v>211</v>
      </c>
      <c r="N671" s="29" t="s">
        <v>95</v>
      </c>
      <c r="O671" s="29" t="s">
        <v>23</v>
      </c>
      <c r="P671" s="29" t="s">
        <v>212</v>
      </c>
      <c r="Q671" s="32"/>
      <c r="R671" s="14" t="s">
        <v>1222</v>
      </c>
      <c r="S671" s="37"/>
      <c r="T671" s="38"/>
      <c r="U671" s="30"/>
      <c r="V671" s="39"/>
      <c r="W671" s="40"/>
      <c r="X671" s="39"/>
      <c r="Y671" s="41"/>
      <c r="Z671" s="9"/>
      <c r="AA671" s="9"/>
      <c r="AB671" s="9"/>
      <c r="AC671" s="7">
        <v>24404</v>
      </c>
      <c r="AD671" s="33"/>
      <c r="AE671" s="33"/>
      <c r="AF671" s="33"/>
      <c r="AG671" s="66"/>
      <c r="AH671" s="44"/>
      <c r="AI671" s="45"/>
      <c r="AJ671" s="36"/>
      <c r="AK671" s="36"/>
    </row>
    <row r="672" spans="1:37" x14ac:dyDescent="0.3">
      <c r="A672" s="43"/>
      <c r="B672" s="13">
        <v>46226</v>
      </c>
      <c r="C672" s="70">
        <v>10332</v>
      </c>
      <c r="D672" s="59" t="s">
        <v>1888</v>
      </c>
      <c r="E672" s="30"/>
      <c r="F672" s="81" t="s">
        <v>66</v>
      </c>
      <c r="G672" s="77">
        <v>46250</v>
      </c>
      <c r="H672" s="15" t="s">
        <v>251</v>
      </c>
      <c r="I672" s="15"/>
      <c r="J672" s="15"/>
      <c r="K672" s="29">
        <v>43072</v>
      </c>
      <c r="L672" s="29">
        <v>46171</v>
      </c>
      <c r="M672" s="29" t="s">
        <v>1880</v>
      </c>
      <c r="N672" s="29" t="s">
        <v>104</v>
      </c>
      <c r="O672" s="29" t="s">
        <v>260</v>
      </c>
      <c r="P672" s="29" t="s">
        <v>233</v>
      </c>
      <c r="Q672" s="32">
        <v>46023</v>
      </c>
      <c r="R672" s="14" t="s">
        <v>1222</v>
      </c>
      <c r="S672" s="37"/>
      <c r="T672" s="38"/>
      <c r="U672" s="30"/>
      <c r="V672" s="39"/>
      <c r="W672" s="40"/>
      <c r="X672" s="39"/>
      <c r="Y672" s="41"/>
      <c r="Z672" s="9"/>
      <c r="AA672" s="9"/>
      <c r="AB672" s="9"/>
      <c r="AC672" s="82">
        <v>470112</v>
      </c>
      <c r="AD672" s="33"/>
      <c r="AE672" s="33"/>
      <c r="AF672" s="33"/>
      <c r="AG672" s="33"/>
      <c r="AH672" s="44"/>
      <c r="AI672" s="45"/>
      <c r="AJ672" s="36"/>
      <c r="AK672" s="36"/>
    </row>
    <row r="673" spans="1:37" x14ac:dyDescent="0.3">
      <c r="A673" s="43"/>
      <c r="B673" s="13">
        <v>46226</v>
      </c>
      <c r="C673" s="70">
        <v>10018524</v>
      </c>
      <c r="D673" s="30" t="s">
        <v>1882</v>
      </c>
      <c r="E673" s="30" t="s">
        <v>1882</v>
      </c>
      <c r="F673" s="81" t="s">
        <v>1873</v>
      </c>
      <c r="G673" s="77">
        <v>46250</v>
      </c>
      <c r="H673" s="15" t="s">
        <v>251</v>
      </c>
      <c r="I673" s="15"/>
      <c r="J673" s="15"/>
      <c r="K673" s="29">
        <v>45019</v>
      </c>
      <c r="L673" s="29">
        <v>46142</v>
      </c>
      <c r="M673" s="29" t="s">
        <v>1267</v>
      </c>
      <c r="N673" s="29" t="s">
        <v>121</v>
      </c>
      <c r="O673" s="29" t="s">
        <v>28</v>
      </c>
      <c r="P673" s="29" t="s">
        <v>223</v>
      </c>
      <c r="Q673" s="32">
        <v>45658</v>
      </c>
      <c r="R673" s="14" t="s">
        <v>1222</v>
      </c>
      <c r="S673" s="37"/>
      <c r="T673" s="38"/>
      <c r="U673" s="30"/>
      <c r="V673" s="39"/>
      <c r="W673" s="40"/>
      <c r="X673" s="39"/>
      <c r="Y673" s="41"/>
      <c r="Z673" s="9"/>
      <c r="AA673" s="9"/>
      <c r="AB673" s="9"/>
      <c r="AC673" s="82">
        <v>118518</v>
      </c>
      <c r="AD673" s="33"/>
      <c r="AE673" s="33"/>
      <c r="AF673" s="33"/>
      <c r="AG673" s="33"/>
      <c r="AH673" s="44"/>
      <c r="AI673" s="45"/>
      <c r="AJ673" s="36"/>
      <c r="AK673" s="36"/>
    </row>
    <row r="674" spans="1:37" x14ac:dyDescent="0.3">
      <c r="A674" s="31"/>
      <c r="B674" s="13">
        <v>46147</v>
      </c>
      <c r="C674" s="60">
        <v>10017893</v>
      </c>
      <c r="D674" s="30" t="s">
        <v>1284</v>
      </c>
      <c r="E674" s="30" t="s">
        <v>1284</v>
      </c>
      <c r="F674" s="65" t="s">
        <v>1253</v>
      </c>
      <c r="G674" s="77">
        <v>46251</v>
      </c>
      <c r="H674" s="15" t="s">
        <v>251</v>
      </c>
      <c r="I674" s="63" t="s">
        <v>916</v>
      </c>
      <c r="J674" s="15" t="s">
        <v>1311</v>
      </c>
      <c r="K674" s="29">
        <v>44879</v>
      </c>
      <c r="L674" s="29">
        <v>46055</v>
      </c>
      <c r="M674" s="29" t="s">
        <v>1267</v>
      </c>
      <c r="N674" s="29" t="s">
        <v>606</v>
      </c>
      <c r="O674" s="29" t="s">
        <v>305</v>
      </c>
      <c r="P674" s="29" t="s">
        <v>223</v>
      </c>
      <c r="Q674" s="32">
        <v>45658</v>
      </c>
      <c r="R674" s="14" t="s">
        <v>1222</v>
      </c>
      <c r="S674" s="37"/>
      <c r="T674" s="38"/>
      <c r="U674" s="30"/>
      <c r="V674" s="39"/>
      <c r="W674" s="40"/>
      <c r="X674" s="39"/>
      <c r="Y674" s="41"/>
      <c r="Z674" s="9"/>
      <c r="AA674" s="9"/>
      <c r="AB674" s="9"/>
      <c r="AC674" s="7">
        <v>120476</v>
      </c>
      <c r="AD674" s="33"/>
      <c r="AE674" s="33"/>
      <c r="AF674" s="33"/>
      <c r="AG674" s="66">
        <v>46331</v>
      </c>
      <c r="AH674" s="44"/>
      <c r="AI674" s="45"/>
      <c r="AJ674" s="36"/>
      <c r="AK674" s="36"/>
    </row>
    <row r="675" spans="1:37" x14ac:dyDescent="0.3">
      <c r="A675" s="31"/>
      <c r="B675" s="13">
        <v>46216</v>
      </c>
      <c r="C675" s="70">
        <v>10020087</v>
      </c>
      <c r="D675" s="61" t="s">
        <v>1827</v>
      </c>
      <c r="E675" s="30" t="s">
        <v>1743</v>
      </c>
      <c r="F675" s="65" t="s">
        <v>1627</v>
      </c>
      <c r="G675" s="77">
        <v>46251</v>
      </c>
      <c r="H675" s="15" t="s">
        <v>251</v>
      </c>
      <c r="I675" s="63"/>
      <c r="J675" s="15"/>
      <c r="K675" s="29">
        <v>45283</v>
      </c>
      <c r="L675" s="29">
        <v>45386</v>
      </c>
      <c r="M675" s="29" t="s">
        <v>211</v>
      </c>
      <c r="N675" s="29" t="s">
        <v>140</v>
      </c>
      <c r="O675" s="29" t="s">
        <v>22</v>
      </c>
      <c r="P675" s="29" t="s">
        <v>212</v>
      </c>
      <c r="Q675" s="32"/>
      <c r="R675" s="14" t="s">
        <v>1222</v>
      </c>
      <c r="S675" s="37"/>
      <c r="T675" s="38"/>
      <c r="U675" s="30"/>
      <c r="V675" s="39"/>
      <c r="W675" s="40"/>
      <c r="X675" s="39"/>
      <c r="Y675" s="41"/>
      <c r="Z675" s="9"/>
      <c r="AA675" s="9"/>
      <c r="AB675" s="9"/>
      <c r="AC675" s="7">
        <v>10965</v>
      </c>
      <c r="AD675" s="33"/>
      <c r="AE675" s="33"/>
      <c r="AF675" s="33"/>
      <c r="AG675" s="66"/>
      <c r="AH675" s="44"/>
      <c r="AI675" s="45"/>
      <c r="AJ675" s="36"/>
      <c r="AK675" s="36"/>
    </row>
    <row r="676" spans="1:37" x14ac:dyDescent="0.3">
      <c r="A676" s="43"/>
      <c r="B676" s="13">
        <v>46226</v>
      </c>
      <c r="C676" s="70">
        <v>10020696</v>
      </c>
      <c r="D676" s="59" t="s">
        <v>1890</v>
      </c>
      <c r="E676" s="59" t="s">
        <v>1890</v>
      </c>
      <c r="F676" s="81" t="s">
        <v>1876</v>
      </c>
      <c r="G676" s="77">
        <v>46251</v>
      </c>
      <c r="H676" s="15" t="s">
        <v>251</v>
      </c>
      <c r="I676" s="15"/>
      <c r="J676" s="15"/>
      <c r="K676" s="29">
        <v>45362</v>
      </c>
      <c r="L676" s="29">
        <v>46174</v>
      </c>
      <c r="M676" s="29" t="s">
        <v>1267</v>
      </c>
      <c r="N676" s="29" t="s">
        <v>121</v>
      </c>
      <c r="O676" s="29" t="s">
        <v>28</v>
      </c>
      <c r="P676" s="29" t="s">
        <v>223</v>
      </c>
      <c r="Q676" s="32">
        <v>46023</v>
      </c>
      <c r="R676" s="14" t="s">
        <v>1222</v>
      </c>
      <c r="S676" s="37"/>
      <c r="T676" s="38"/>
      <c r="U676" s="30"/>
      <c r="V676" s="39"/>
      <c r="W676" s="40"/>
      <c r="X676" s="39"/>
      <c r="Y676" s="41"/>
      <c r="Z676" s="9"/>
      <c r="AA676" s="9"/>
      <c r="AB676" s="9"/>
      <c r="AC676" s="82">
        <v>56414</v>
      </c>
      <c r="AD676" s="33"/>
      <c r="AE676" s="33"/>
      <c r="AF676" s="33"/>
      <c r="AG676" s="33"/>
      <c r="AH676" s="44"/>
      <c r="AI676" s="45"/>
      <c r="AJ676" s="36"/>
      <c r="AK676" s="36"/>
    </row>
    <row r="677" spans="1:37" s="106" customFormat="1" x14ac:dyDescent="0.3">
      <c r="A677" s="83"/>
      <c r="B677" s="84">
        <v>46216</v>
      </c>
      <c r="C677" s="85">
        <v>10025094</v>
      </c>
      <c r="D677" s="86"/>
      <c r="E677" s="87"/>
      <c r="F677" s="88" t="s">
        <v>1675</v>
      </c>
      <c r="G677" s="77">
        <v>46252</v>
      </c>
      <c r="H677" s="15" t="s">
        <v>251</v>
      </c>
      <c r="I677" s="90"/>
      <c r="J677" s="89"/>
      <c r="K677" s="91">
        <v>46006</v>
      </c>
      <c r="L677" s="91">
        <v>46034</v>
      </c>
      <c r="M677" s="91" t="s">
        <v>681</v>
      </c>
      <c r="N677" s="91" t="s">
        <v>99</v>
      </c>
      <c r="O677" s="91" t="s">
        <v>17</v>
      </c>
      <c r="P677" s="91" t="s">
        <v>212</v>
      </c>
      <c r="Q677" s="92"/>
      <c r="R677" s="93" t="s">
        <v>1222</v>
      </c>
      <c r="S677" s="94"/>
      <c r="T677" s="95"/>
      <c r="U677" s="87"/>
      <c r="V677" s="96"/>
      <c r="W677" s="97"/>
      <c r="X677" s="96"/>
      <c r="Y677" s="98"/>
      <c r="Z677" s="99"/>
      <c r="AA677" s="99"/>
      <c r="AB677" s="99"/>
      <c r="AC677" s="100">
        <v>7891</v>
      </c>
      <c r="AD677" s="101"/>
      <c r="AE677" s="101"/>
      <c r="AF677" s="101"/>
      <c r="AG677" s="102"/>
      <c r="AH677" s="103"/>
      <c r="AI677" s="104"/>
      <c r="AJ677" s="105"/>
      <c r="AK677" s="105"/>
    </row>
    <row r="678" spans="1:37" s="106" customFormat="1" x14ac:dyDescent="0.3">
      <c r="A678" s="83"/>
      <c r="B678" s="84">
        <v>46216</v>
      </c>
      <c r="C678" s="85">
        <v>10024903</v>
      </c>
      <c r="D678" s="86" t="s">
        <v>1780</v>
      </c>
      <c r="E678" s="87" t="s">
        <v>1780</v>
      </c>
      <c r="F678" s="88" t="s">
        <v>1676</v>
      </c>
      <c r="G678" s="77">
        <v>46252</v>
      </c>
      <c r="H678" s="15" t="s">
        <v>251</v>
      </c>
      <c r="I678" s="90" t="s">
        <v>916</v>
      </c>
      <c r="J678" s="89"/>
      <c r="K678" s="91">
        <v>45980</v>
      </c>
      <c r="L678" s="91">
        <v>46054</v>
      </c>
      <c r="M678" s="91" t="s">
        <v>211</v>
      </c>
      <c r="N678" s="91" t="s">
        <v>96</v>
      </c>
      <c r="O678" s="91" t="s">
        <v>23</v>
      </c>
      <c r="P678" s="91" t="s">
        <v>212</v>
      </c>
      <c r="Q678" s="92"/>
      <c r="R678" s="93" t="s">
        <v>1222</v>
      </c>
      <c r="S678" s="94"/>
      <c r="T678" s="95"/>
      <c r="U678" s="87"/>
      <c r="V678" s="96"/>
      <c r="W678" s="97"/>
      <c r="X678" s="96"/>
      <c r="Y678" s="98"/>
      <c r="Z678" s="99"/>
      <c r="AA678" s="99"/>
      <c r="AB678" s="99"/>
      <c r="AC678" s="100">
        <v>7224</v>
      </c>
      <c r="AD678" s="101"/>
      <c r="AE678" s="101"/>
      <c r="AF678" s="101"/>
      <c r="AG678" s="102"/>
      <c r="AH678" s="103"/>
      <c r="AI678" s="104"/>
      <c r="AJ678" s="105"/>
      <c r="AK678" s="105"/>
    </row>
    <row r="679" spans="1:37" s="106" customFormat="1" x14ac:dyDescent="0.3">
      <c r="A679" s="83"/>
      <c r="B679" s="84">
        <v>46216</v>
      </c>
      <c r="C679" s="85">
        <v>8286</v>
      </c>
      <c r="D679" s="86" t="s">
        <v>1789</v>
      </c>
      <c r="E679" s="87" t="s">
        <v>1809</v>
      </c>
      <c r="F679" s="88" t="s">
        <v>299</v>
      </c>
      <c r="G679" s="77">
        <v>46252</v>
      </c>
      <c r="H679" s="15" t="s">
        <v>251</v>
      </c>
      <c r="I679" s="90"/>
      <c r="J679" s="89"/>
      <c r="K679" s="91">
        <v>42488</v>
      </c>
      <c r="L679" s="91">
        <v>46022</v>
      </c>
      <c r="M679" s="91" t="s">
        <v>219</v>
      </c>
      <c r="N679" s="91" t="s">
        <v>138</v>
      </c>
      <c r="O679" s="91" t="s">
        <v>23</v>
      </c>
      <c r="P679" s="91" t="s">
        <v>214</v>
      </c>
      <c r="Q679" s="92"/>
      <c r="R679" s="93" t="s">
        <v>1222</v>
      </c>
      <c r="S679" s="94"/>
      <c r="T679" s="95"/>
      <c r="U679" s="87"/>
      <c r="V679" s="96"/>
      <c r="W679" s="97"/>
      <c r="X679" s="96"/>
      <c r="Y679" s="98"/>
      <c r="Z679" s="99"/>
      <c r="AA679" s="99"/>
      <c r="AB679" s="99"/>
      <c r="AC679" s="100">
        <v>614647</v>
      </c>
      <c r="AD679" s="101"/>
      <c r="AE679" s="101"/>
      <c r="AF679" s="101"/>
      <c r="AG679" s="102"/>
      <c r="AH679" s="103"/>
      <c r="AI679" s="104"/>
      <c r="AJ679" s="105"/>
      <c r="AK679" s="105"/>
    </row>
    <row r="680" spans="1:37" s="106" customFormat="1" x14ac:dyDescent="0.3">
      <c r="A680" s="107"/>
      <c r="B680" s="84">
        <v>46226</v>
      </c>
      <c r="C680" s="85">
        <v>10017866</v>
      </c>
      <c r="D680" s="87" t="s">
        <v>1881</v>
      </c>
      <c r="E680" s="87" t="s">
        <v>1881</v>
      </c>
      <c r="F680" s="108" t="s">
        <v>1872</v>
      </c>
      <c r="G680" s="77">
        <v>46252</v>
      </c>
      <c r="H680" s="15" t="s">
        <v>251</v>
      </c>
      <c r="I680" s="89"/>
      <c r="J680" s="89"/>
      <c r="K680" s="91">
        <v>44872</v>
      </c>
      <c r="L680" s="91">
        <v>46163</v>
      </c>
      <c r="M680" s="91" t="s">
        <v>1267</v>
      </c>
      <c r="N680" s="91" t="s">
        <v>121</v>
      </c>
      <c r="O680" s="91" t="s">
        <v>28</v>
      </c>
      <c r="P680" s="91" t="s">
        <v>223</v>
      </c>
      <c r="Q680" s="92">
        <v>45658</v>
      </c>
      <c r="R680" s="93" t="s">
        <v>1222</v>
      </c>
      <c r="S680" s="94"/>
      <c r="T680" s="95"/>
      <c r="U680" s="87"/>
      <c r="V680" s="96"/>
      <c r="W680" s="97"/>
      <c r="X680" s="96"/>
      <c r="Y680" s="98"/>
      <c r="Z680" s="99"/>
      <c r="AA680" s="99"/>
      <c r="AB680" s="99"/>
      <c r="AC680" s="109">
        <v>243862</v>
      </c>
      <c r="AD680" s="101"/>
      <c r="AE680" s="101"/>
      <c r="AF680" s="101"/>
      <c r="AG680" s="101"/>
      <c r="AH680" s="103"/>
      <c r="AI680" s="104"/>
      <c r="AJ680" s="105"/>
      <c r="AK680" s="105"/>
    </row>
    <row r="681" spans="1:37" s="106" customFormat="1" x14ac:dyDescent="0.3">
      <c r="A681" s="107"/>
      <c r="B681" s="84">
        <v>46226</v>
      </c>
      <c r="C681" s="85">
        <v>10020390</v>
      </c>
      <c r="D681" s="87">
        <v>1558172010</v>
      </c>
      <c r="E681" s="87"/>
      <c r="F681" s="108" t="s">
        <v>1875</v>
      </c>
      <c r="G681" s="77">
        <v>46252</v>
      </c>
      <c r="H681" s="15" t="s">
        <v>251</v>
      </c>
      <c r="I681" s="89"/>
      <c r="J681" s="89"/>
      <c r="K681" s="91">
        <v>45334</v>
      </c>
      <c r="L681" s="91">
        <v>45410</v>
      </c>
      <c r="M681" s="91" t="s">
        <v>1267</v>
      </c>
      <c r="N681" s="91" t="s">
        <v>121</v>
      </c>
      <c r="O681" s="91" t="s">
        <v>28</v>
      </c>
      <c r="P681" s="91" t="s">
        <v>223</v>
      </c>
      <c r="Q681" s="92"/>
      <c r="R681" s="93" t="s">
        <v>1222</v>
      </c>
      <c r="S681" s="94"/>
      <c r="T681" s="95"/>
      <c r="U681" s="87"/>
      <c r="V681" s="96"/>
      <c r="W681" s="97"/>
      <c r="X681" s="96"/>
      <c r="Y681" s="98"/>
      <c r="Z681" s="99"/>
      <c r="AA681" s="99"/>
      <c r="AB681" s="99"/>
      <c r="AC681" s="109">
        <v>36253</v>
      </c>
      <c r="AD681" s="101"/>
      <c r="AE681" s="101"/>
      <c r="AF681" s="101"/>
      <c r="AG681" s="101"/>
      <c r="AH681" s="103"/>
      <c r="AI681" s="104"/>
      <c r="AJ681" s="105"/>
      <c r="AK681" s="105"/>
    </row>
    <row r="682" spans="1:37" x14ac:dyDescent="0.3">
      <c r="A682" s="31"/>
      <c r="B682" s="13">
        <v>46216</v>
      </c>
      <c r="C682" s="70">
        <v>10023138</v>
      </c>
      <c r="D682" s="61" t="s">
        <v>1779</v>
      </c>
      <c r="E682" s="30" t="s">
        <v>1779</v>
      </c>
      <c r="F682" s="65" t="s">
        <v>1674</v>
      </c>
      <c r="G682" s="77">
        <v>46253</v>
      </c>
      <c r="H682" s="15" t="s">
        <v>251</v>
      </c>
      <c r="I682" s="63"/>
      <c r="J682" s="15"/>
      <c r="K682" s="29">
        <v>45689</v>
      </c>
      <c r="L682" s="29">
        <v>46022</v>
      </c>
      <c r="M682" s="29" t="s">
        <v>236</v>
      </c>
      <c r="N682" s="29" t="s">
        <v>126</v>
      </c>
      <c r="O682" s="29" t="s">
        <v>23</v>
      </c>
      <c r="P682" s="29" t="s">
        <v>212</v>
      </c>
      <c r="Q682" s="32"/>
      <c r="R682" s="14" t="s">
        <v>1222</v>
      </c>
      <c r="S682" s="37"/>
      <c r="T682" s="38"/>
      <c r="U682" s="30"/>
      <c r="V682" s="39"/>
      <c r="W682" s="40"/>
      <c r="X682" s="39"/>
      <c r="Y682" s="41"/>
      <c r="Z682" s="9"/>
      <c r="AA682" s="9"/>
      <c r="AB682" s="9"/>
      <c r="AC682" s="7">
        <v>8347</v>
      </c>
      <c r="AD682" s="33"/>
      <c r="AE682" s="33"/>
      <c r="AF682" s="33"/>
      <c r="AG682" s="66"/>
      <c r="AH682" s="44"/>
      <c r="AI682" s="45"/>
      <c r="AJ682" s="36"/>
      <c r="AK682" s="36"/>
    </row>
    <row r="683" spans="1:37" x14ac:dyDescent="0.3">
      <c r="A683" s="31"/>
      <c r="B683" s="13">
        <v>46183</v>
      </c>
      <c r="C683" s="60">
        <v>10020904</v>
      </c>
      <c r="D683" s="30" t="s">
        <v>1512</v>
      </c>
      <c r="E683" s="30" t="s">
        <v>1512</v>
      </c>
      <c r="F683" s="65" t="s">
        <v>1384</v>
      </c>
      <c r="G683" s="77">
        <v>46258</v>
      </c>
      <c r="H683" s="15" t="s">
        <v>251</v>
      </c>
      <c r="I683" s="63"/>
      <c r="J683" s="15"/>
      <c r="K683" s="29">
        <v>45397</v>
      </c>
      <c r="L683" s="29">
        <v>45964</v>
      </c>
      <c r="M683" s="29" t="s">
        <v>219</v>
      </c>
      <c r="N683" s="29" t="s">
        <v>111</v>
      </c>
      <c r="O683" s="29" t="s">
        <v>23</v>
      </c>
      <c r="P683" s="29" t="s">
        <v>214</v>
      </c>
      <c r="Q683" s="32"/>
      <c r="R683" s="14" t="s">
        <v>1222</v>
      </c>
      <c r="S683" s="37"/>
      <c r="T683" s="38"/>
      <c r="U683" s="30"/>
      <c r="V683" s="39"/>
      <c r="W683" s="40"/>
      <c r="X683" s="39"/>
      <c r="Y683" s="41"/>
      <c r="Z683" s="9"/>
      <c r="AA683" s="9"/>
      <c r="AB683" s="9"/>
      <c r="AC683" s="7">
        <v>37913</v>
      </c>
      <c r="AD683" s="33"/>
      <c r="AE683" s="33"/>
      <c r="AF683" s="33"/>
      <c r="AG683" s="66"/>
      <c r="AH683" s="44"/>
      <c r="AI683" s="45"/>
      <c r="AJ683" s="36"/>
      <c r="AK683" s="36"/>
    </row>
    <row r="684" spans="1:37" x14ac:dyDescent="0.3">
      <c r="A684" s="31"/>
      <c r="B684" s="13">
        <v>46216</v>
      </c>
      <c r="C684" s="70">
        <v>10018687</v>
      </c>
      <c r="D684" s="61" t="s">
        <v>1714</v>
      </c>
      <c r="E684" s="30" t="s">
        <v>1714</v>
      </c>
      <c r="F684" s="65" t="s">
        <v>1641</v>
      </c>
      <c r="G684" s="77">
        <v>46258</v>
      </c>
      <c r="H684" s="15" t="s">
        <v>251</v>
      </c>
      <c r="I684" s="63"/>
      <c r="J684" s="15"/>
      <c r="K684" s="29">
        <v>45035</v>
      </c>
      <c r="L684" s="29">
        <v>46054</v>
      </c>
      <c r="M684" s="29" t="s">
        <v>211</v>
      </c>
      <c r="N684" s="29" t="s">
        <v>190</v>
      </c>
      <c r="O684" s="29" t="s">
        <v>23</v>
      </c>
      <c r="P684" s="29" t="s">
        <v>212</v>
      </c>
      <c r="Q684" s="32"/>
      <c r="R684" s="14" t="s">
        <v>1222</v>
      </c>
      <c r="S684" s="37"/>
      <c r="T684" s="38"/>
      <c r="U684" s="30"/>
      <c r="V684" s="39"/>
      <c r="W684" s="40"/>
      <c r="X684" s="39"/>
      <c r="Y684" s="41"/>
      <c r="Z684" s="9"/>
      <c r="AA684" s="9"/>
      <c r="AB684" s="9"/>
      <c r="AC684" s="7">
        <v>86720</v>
      </c>
      <c r="AD684" s="33"/>
      <c r="AE684" s="33"/>
      <c r="AF684" s="33"/>
      <c r="AG684" s="66"/>
      <c r="AH684" s="44"/>
      <c r="AI684" s="45"/>
      <c r="AJ684" s="36"/>
      <c r="AK684" s="36"/>
    </row>
    <row r="685" spans="1:37" x14ac:dyDescent="0.3">
      <c r="A685" s="31"/>
      <c r="B685" s="13">
        <v>46216</v>
      </c>
      <c r="C685" s="70">
        <v>10021505</v>
      </c>
      <c r="D685" s="73" t="s">
        <v>1778</v>
      </c>
      <c r="E685" s="30" t="s">
        <v>72</v>
      </c>
      <c r="F685" s="65" t="s">
        <v>1673</v>
      </c>
      <c r="G685" s="77">
        <v>46259</v>
      </c>
      <c r="H685" s="15" t="s">
        <v>251</v>
      </c>
      <c r="I685" s="63"/>
      <c r="J685" s="15"/>
      <c r="K685" s="29">
        <v>45474</v>
      </c>
      <c r="L685" s="29">
        <v>46023</v>
      </c>
      <c r="M685" s="29" t="s">
        <v>228</v>
      </c>
      <c r="N685" s="29" t="s">
        <v>149</v>
      </c>
      <c r="O685" s="29" t="s">
        <v>40</v>
      </c>
      <c r="P685" s="29" t="s">
        <v>221</v>
      </c>
      <c r="Q685" s="32"/>
      <c r="R685" s="14" t="s">
        <v>1222</v>
      </c>
      <c r="S685" s="37"/>
      <c r="T685" s="38"/>
      <c r="U685" s="30"/>
      <c r="V685" s="39"/>
      <c r="W685" s="40"/>
      <c r="X685" s="39"/>
      <c r="Y685" s="41"/>
      <c r="Z685" s="9"/>
      <c r="AA685" s="9"/>
      <c r="AB685" s="9"/>
      <c r="AC685" s="7">
        <v>25790</v>
      </c>
      <c r="AD685" s="33"/>
      <c r="AE685" s="33"/>
      <c r="AF685" s="33"/>
      <c r="AG685" s="66"/>
      <c r="AH685" s="44"/>
      <c r="AI685" s="45"/>
      <c r="AJ685" s="36"/>
      <c r="AK685" s="36"/>
    </row>
    <row r="686" spans="1:37" x14ac:dyDescent="0.3">
      <c r="A686" s="43"/>
      <c r="B686" s="13">
        <v>46226</v>
      </c>
      <c r="C686" s="70">
        <v>10023299</v>
      </c>
      <c r="D686" s="59" t="s">
        <v>1891</v>
      </c>
      <c r="E686" s="59" t="s">
        <v>1891</v>
      </c>
      <c r="F686" s="81" t="s">
        <v>925</v>
      </c>
      <c r="G686" s="77">
        <v>46259</v>
      </c>
      <c r="H686" s="15" t="s">
        <v>251</v>
      </c>
      <c r="I686" s="15"/>
      <c r="J686" s="15"/>
      <c r="K686" s="29">
        <v>45722</v>
      </c>
      <c r="L686" s="29">
        <v>46163</v>
      </c>
      <c r="M686" s="29" t="s">
        <v>218</v>
      </c>
      <c r="N686" s="29" t="s">
        <v>674</v>
      </c>
      <c r="O686" s="29" t="s">
        <v>30</v>
      </c>
      <c r="P686" s="29" t="s">
        <v>217</v>
      </c>
      <c r="Q686" s="32"/>
      <c r="R686" s="14" t="s">
        <v>1222</v>
      </c>
      <c r="S686" s="37"/>
      <c r="T686" s="38"/>
      <c r="U686" s="30"/>
      <c r="V686" s="39"/>
      <c r="W686" s="40"/>
      <c r="X686" s="39"/>
      <c r="Y686" s="41"/>
      <c r="Z686" s="9"/>
      <c r="AA686" s="9"/>
      <c r="AB686" s="9"/>
      <c r="AC686" s="82">
        <v>24634</v>
      </c>
      <c r="AD686" s="33"/>
      <c r="AE686" s="33"/>
      <c r="AF686" s="33"/>
      <c r="AG686" s="33"/>
      <c r="AH686" s="44"/>
      <c r="AI686" s="45"/>
      <c r="AJ686" s="36"/>
      <c r="AK686" s="36"/>
    </row>
    <row r="687" spans="1:37" x14ac:dyDescent="0.3">
      <c r="A687" s="43"/>
      <c r="B687" s="13">
        <v>46226</v>
      </c>
      <c r="C687" s="70">
        <v>10024179</v>
      </c>
      <c r="D687" s="59" t="s">
        <v>1892</v>
      </c>
      <c r="E687" s="59" t="s">
        <v>1892</v>
      </c>
      <c r="F687" s="81" t="s">
        <v>1877</v>
      </c>
      <c r="G687" s="77">
        <v>46259</v>
      </c>
      <c r="H687" s="15" t="s">
        <v>251</v>
      </c>
      <c r="I687" s="15"/>
      <c r="J687" s="15"/>
      <c r="K687" s="29">
        <v>45875</v>
      </c>
      <c r="L687" s="29">
        <v>46174</v>
      </c>
      <c r="M687" s="29" t="s">
        <v>1885</v>
      </c>
      <c r="N687" s="29" t="s">
        <v>121</v>
      </c>
      <c r="O687" s="29" t="s">
        <v>28</v>
      </c>
      <c r="P687" s="29" t="s">
        <v>217</v>
      </c>
      <c r="Q687" s="32"/>
      <c r="R687" s="14" t="s">
        <v>1222</v>
      </c>
      <c r="S687" s="37"/>
      <c r="T687" s="38"/>
      <c r="U687" s="30"/>
      <c r="V687" s="39"/>
      <c r="W687" s="40"/>
      <c r="X687" s="39"/>
      <c r="Y687" s="41"/>
      <c r="Z687" s="9"/>
      <c r="AA687" s="9"/>
      <c r="AB687" s="9"/>
      <c r="AC687" s="82">
        <v>20635</v>
      </c>
      <c r="AD687" s="33"/>
      <c r="AE687" s="33"/>
      <c r="AF687" s="33"/>
      <c r="AG687" s="33"/>
      <c r="AH687" s="44"/>
      <c r="AI687" s="45"/>
      <c r="AJ687" s="36"/>
      <c r="AK687" s="36"/>
    </row>
    <row r="688" spans="1:37" x14ac:dyDescent="0.3">
      <c r="B688" s="13">
        <v>46127</v>
      </c>
      <c r="C688" s="60">
        <v>10017133</v>
      </c>
      <c r="D688" s="30" t="s">
        <v>1848</v>
      </c>
      <c r="E688" s="30" t="s">
        <v>1145</v>
      </c>
      <c r="F688" s="65" t="s">
        <v>975</v>
      </c>
      <c r="G688" s="68">
        <v>46261</v>
      </c>
      <c r="H688" s="15" t="s">
        <v>251</v>
      </c>
      <c r="I688" s="15"/>
      <c r="J688" s="15" t="e">
        <v>#N/A</v>
      </c>
      <c r="K688" s="29">
        <v>44743</v>
      </c>
      <c r="L688" s="29">
        <v>45809</v>
      </c>
      <c r="M688" s="29" t="s">
        <v>219</v>
      </c>
      <c r="N688" s="29" t="s">
        <v>97</v>
      </c>
      <c r="O688" s="29" t="s">
        <v>23</v>
      </c>
      <c r="P688" s="29" t="s">
        <v>214</v>
      </c>
      <c r="Q688" s="32"/>
      <c r="R688" s="14" t="s">
        <v>1222</v>
      </c>
      <c r="S688" s="37"/>
      <c r="T688" s="38"/>
      <c r="U688" s="30"/>
      <c r="V688" s="39"/>
      <c r="W688" s="40"/>
      <c r="X688" s="39"/>
      <c r="Y688" s="41"/>
      <c r="Z688" s="9"/>
      <c r="AA688" s="9"/>
      <c r="AB688" s="9"/>
      <c r="AC688" s="7">
        <v>120493</v>
      </c>
    </row>
    <row r="689" spans="1:37" x14ac:dyDescent="0.3">
      <c r="B689" s="13">
        <v>46127</v>
      </c>
      <c r="C689" s="60">
        <v>10018811</v>
      </c>
      <c r="D689" s="30" t="s">
        <v>1855</v>
      </c>
      <c r="E689" s="30" t="s">
        <v>1855</v>
      </c>
      <c r="F689" s="65" t="s">
        <v>1029</v>
      </c>
      <c r="G689" s="68">
        <v>46261</v>
      </c>
      <c r="H689" s="15" t="s">
        <v>251</v>
      </c>
      <c r="I689" s="63" t="s">
        <v>916</v>
      </c>
      <c r="J689" s="15" t="s">
        <v>1310</v>
      </c>
      <c r="K689" s="29">
        <v>45017</v>
      </c>
      <c r="L689" s="29">
        <v>45505</v>
      </c>
      <c r="M689" s="29" t="s">
        <v>1213</v>
      </c>
      <c r="N689" s="29" t="s">
        <v>113</v>
      </c>
      <c r="O689" s="29" t="s">
        <v>17</v>
      </c>
      <c r="P689" s="29" t="s">
        <v>221</v>
      </c>
      <c r="Q689" s="32"/>
      <c r="R689" s="14" t="s">
        <v>1222</v>
      </c>
      <c r="S689" s="37"/>
      <c r="T689" s="38"/>
      <c r="U689" s="30"/>
      <c r="V689" s="39"/>
      <c r="W689" s="40"/>
      <c r="X689" s="39"/>
      <c r="Y689" s="41"/>
      <c r="Z689" s="9"/>
      <c r="AA689" s="9"/>
      <c r="AB689" s="9"/>
      <c r="AC689" s="7">
        <v>20792</v>
      </c>
    </row>
    <row r="690" spans="1:37" x14ac:dyDescent="0.3">
      <c r="B690" s="13">
        <v>46216</v>
      </c>
      <c r="C690" s="70">
        <v>10024104</v>
      </c>
      <c r="D690" s="61" t="s">
        <v>1787</v>
      </c>
      <c r="E690" s="30" t="s">
        <v>1787</v>
      </c>
      <c r="F690" s="65" t="s">
        <v>1683</v>
      </c>
      <c r="G690" s="68">
        <v>46261</v>
      </c>
      <c r="H690" s="15" t="s">
        <v>251</v>
      </c>
      <c r="I690" s="63"/>
      <c r="J690" s="15"/>
      <c r="K690" s="29">
        <v>45859</v>
      </c>
      <c r="L690" s="29">
        <v>46127</v>
      </c>
      <c r="M690" s="29" t="s">
        <v>677</v>
      </c>
      <c r="N690" s="29" t="s">
        <v>157</v>
      </c>
      <c r="O690" s="29" t="s">
        <v>19</v>
      </c>
      <c r="P690" s="29" t="s">
        <v>281</v>
      </c>
      <c r="Q690" s="32"/>
      <c r="R690" s="14" t="s">
        <v>1222</v>
      </c>
      <c r="S690" s="37"/>
      <c r="T690" s="38"/>
      <c r="U690" s="30"/>
      <c r="V690" s="39"/>
      <c r="W690" s="40"/>
      <c r="X690" s="39"/>
      <c r="Y690" s="41"/>
      <c r="Z690" s="9"/>
      <c r="AA690" s="9"/>
      <c r="AB690" s="9"/>
      <c r="AC690" s="7">
        <v>2708</v>
      </c>
    </row>
    <row r="691" spans="1:37" x14ac:dyDescent="0.3">
      <c r="B691" s="13">
        <v>46226</v>
      </c>
      <c r="C691" s="70">
        <v>10019752</v>
      </c>
      <c r="D691" s="30" t="s">
        <v>1883</v>
      </c>
      <c r="E691" s="59" t="s">
        <v>1889</v>
      </c>
      <c r="F691" s="81" t="s">
        <v>1874</v>
      </c>
      <c r="G691" s="68">
        <v>46261</v>
      </c>
      <c r="H691" s="15" t="s">
        <v>251</v>
      </c>
      <c r="I691" s="15"/>
      <c r="J691" s="15"/>
      <c r="K691" s="29">
        <v>45222</v>
      </c>
      <c r="L691" s="29">
        <v>46180</v>
      </c>
      <c r="M691" s="29" t="s">
        <v>1884</v>
      </c>
      <c r="N691" s="29" t="s">
        <v>670</v>
      </c>
      <c r="O691" s="29" t="s">
        <v>671</v>
      </c>
      <c r="P691" s="29" t="s">
        <v>217</v>
      </c>
      <c r="Q691" s="32"/>
      <c r="R691" s="14" t="s">
        <v>1222</v>
      </c>
      <c r="S691" s="37"/>
      <c r="T691" s="38"/>
      <c r="U691" s="30"/>
      <c r="V691" s="39"/>
      <c r="W691" s="40"/>
      <c r="X691" s="39"/>
      <c r="Y691" s="41"/>
      <c r="Z691" s="9"/>
      <c r="AA691" s="9"/>
      <c r="AB691" s="9"/>
      <c r="AC691" s="82">
        <v>56657</v>
      </c>
    </row>
    <row r="692" spans="1:37" s="106" customFormat="1" x14ac:dyDescent="0.3">
      <c r="A692" s="107"/>
      <c r="B692" s="84">
        <v>46254</v>
      </c>
      <c r="C692" s="85">
        <v>12100</v>
      </c>
      <c r="D692" s="86" t="s">
        <v>1945</v>
      </c>
      <c r="E692" s="112" t="s">
        <v>1978</v>
      </c>
      <c r="F692" s="113" t="s">
        <v>1894</v>
      </c>
      <c r="G692" s="114">
        <v>46267</v>
      </c>
      <c r="H692" s="15" t="s">
        <v>251</v>
      </c>
      <c r="I692" s="89" t="s">
        <v>1944</v>
      </c>
      <c r="J692" s="89"/>
      <c r="K692" s="91">
        <v>43479</v>
      </c>
      <c r="L692" s="91">
        <v>46147</v>
      </c>
      <c r="M692" s="91" t="s">
        <v>280</v>
      </c>
      <c r="N692" s="91" t="s">
        <v>643</v>
      </c>
      <c r="O692" s="91" t="s">
        <v>23</v>
      </c>
      <c r="P692" s="91" t="s">
        <v>281</v>
      </c>
      <c r="Q692" s="92">
        <v>45627</v>
      </c>
      <c r="R692" s="93" t="s">
        <v>1222</v>
      </c>
      <c r="S692" s="94"/>
      <c r="T692" s="95"/>
      <c r="U692" s="87"/>
      <c r="V692" s="96"/>
      <c r="W692" s="97"/>
      <c r="X692" s="96"/>
      <c r="Y692" s="98"/>
      <c r="Z692" s="99"/>
      <c r="AA692" s="99"/>
      <c r="AB692" s="99"/>
      <c r="AC692" s="100">
        <v>1255509</v>
      </c>
      <c r="AD692" s="101"/>
      <c r="AE692" s="101"/>
      <c r="AF692" s="101"/>
      <c r="AG692" s="101"/>
      <c r="AH692" s="103"/>
      <c r="AI692" s="104"/>
      <c r="AJ692" s="105"/>
      <c r="AK692" s="105"/>
    </row>
    <row r="693" spans="1:37" s="106" customFormat="1" x14ac:dyDescent="0.3">
      <c r="A693" s="107"/>
      <c r="B693" s="84">
        <v>46254</v>
      </c>
      <c r="C693" s="85">
        <v>7134</v>
      </c>
      <c r="D693" s="86"/>
      <c r="E693" s="112" t="s">
        <v>1979</v>
      </c>
      <c r="F693" s="113" t="s">
        <v>1895</v>
      </c>
      <c r="G693" s="114">
        <v>46267</v>
      </c>
      <c r="H693" s="15" t="s">
        <v>251</v>
      </c>
      <c r="I693" s="89"/>
      <c r="J693" s="89"/>
      <c r="K693" s="91">
        <v>42141</v>
      </c>
      <c r="L693" s="91">
        <v>46167</v>
      </c>
      <c r="M693" s="91" t="s">
        <v>225</v>
      </c>
      <c r="N693" s="91" t="s">
        <v>624</v>
      </c>
      <c r="O693" s="91" t="s">
        <v>264</v>
      </c>
      <c r="P693" s="91" t="s">
        <v>230</v>
      </c>
      <c r="Q693" s="92">
        <v>45292</v>
      </c>
      <c r="R693" s="93" t="s">
        <v>1222</v>
      </c>
      <c r="S693" s="94"/>
      <c r="T693" s="95"/>
      <c r="U693" s="87"/>
      <c r="V693" s="96"/>
      <c r="W693" s="97"/>
      <c r="X693" s="96"/>
      <c r="Y693" s="98"/>
      <c r="Z693" s="99"/>
      <c r="AA693" s="99"/>
      <c r="AB693" s="99"/>
      <c r="AC693" s="100">
        <v>2215838</v>
      </c>
      <c r="AD693" s="101"/>
      <c r="AE693" s="101"/>
      <c r="AF693" s="101"/>
      <c r="AG693" s="101"/>
      <c r="AH693" s="103"/>
      <c r="AI693" s="104"/>
      <c r="AJ693" s="105"/>
      <c r="AK693" s="105"/>
    </row>
    <row r="694" spans="1:37" s="106" customFormat="1" x14ac:dyDescent="0.3">
      <c r="A694" s="107"/>
      <c r="B694" s="84">
        <v>46254</v>
      </c>
      <c r="C694" s="85">
        <v>3375</v>
      </c>
      <c r="D694" s="86" t="s">
        <v>1976</v>
      </c>
      <c r="E694" s="112" t="s">
        <v>1990</v>
      </c>
      <c r="F694" s="113" t="s">
        <v>1910</v>
      </c>
      <c r="G694" s="114">
        <v>46267</v>
      </c>
      <c r="H694" s="15" t="s">
        <v>251</v>
      </c>
      <c r="I694" s="89"/>
      <c r="J694" s="89"/>
      <c r="K694" s="91">
        <v>40507</v>
      </c>
      <c r="L694" s="91">
        <v>45994</v>
      </c>
      <c r="M694" s="91" t="s">
        <v>219</v>
      </c>
      <c r="N694" s="91" t="s">
        <v>141</v>
      </c>
      <c r="O694" s="91" t="s">
        <v>23</v>
      </c>
      <c r="P694" s="91" t="s">
        <v>214</v>
      </c>
      <c r="Q694" s="92"/>
      <c r="R694" s="93" t="s">
        <v>1222</v>
      </c>
      <c r="S694" s="94"/>
      <c r="T694" s="95"/>
      <c r="U694" s="87"/>
      <c r="V694" s="96"/>
      <c r="W694" s="97"/>
      <c r="X694" s="96"/>
      <c r="Y694" s="98"/>
      <c r="Z694" s="99"/>
      <c r="AA694" s="99"/>
      <c r="AB694" s="99"/>
      <c r="AC694" s="100">
        <v>559654</v>
      </c>
      <c r="AD694" s="101"/>
      <c r="AE694" s="101"/>
      <c r="AF694" s="101"/>
      <c r="AG694" s="101"/>
      <c r="AH694" s="103"/>
      <c r="AI694" s="104"/>
      <c r="AJ694" s="105"/>
      <c r="AK694" s="105"/>
    </row>
    <row r="695" spans="1:37" x14ac:dyDescent="0.3">
      <c r="A695" s="31"/>
      <c r="B695" s="13">
        <v>46183</v>
      </c>
      <c r="C695" s="60">
        <v>10019981</v>
      </c>
      <c r="D695" s="30" t="s">
        <v>1542</v>
      </c>
      <c r="E695" s="30" t="s">
        <v>1542</v>
      </c>
      <c r="F695" s="65" t="s">
        <v>1415</v>
      </c>
      <c r="G695" s="114">
        <v>46268</v>
      </c>
      <c r="H695" s="15" t="s">
        <v>251</v>
      </c>
      <c r="I695" s="63"/>
      <c r="J695" s="15"/>
      <c r="K695" s="29">
        <v>45274</v>
      </c>
      <c r="L695" s="29">
        <v>46019</v>
      </c>
      <c r="M695" s="29" t="s">
        <v>211</v>
      </c>
      <c r="N695" s="29" t="s">
        <v>182</v>
      </c>
      <c r="O695" s="29" t="s">
        <v>23</v>
      </c>
      <c r="P695" s="29" t="s">
        <v>212</v>
      </c>
      <c r="Q695" s="32"/>
      <c r="R695" s="14" t="s">
        <v>1222</v>
      </c>
      <c r="S695" s="37"/>
      <c r="T695" s="38"/>
      <c r="U695" s="30"/>
      <c r="V695" s="39"/>
      <c r="W695" s="40"/>
      <c r="X695" s="39"/>
      <c r="Y695" s="41"/>
      <c r="Z695" s="9"/>
      <c r="AA695" s="9"/>
      <c r="AB695" s="9"/>
      <c r="AC695" s="7">
        <v>9177</v>
      </c>
      <c r="AD695" s="33"/>
      <c r="AE695" s="33"/>
      <c r="AF695" s="33"/>
      <c r="AG695" s="66"/>
      <c r="AH695" s="44"/>
      <c r="AI695" s="45"/>
      <c r="AJ695" s="36"/>
      <c r="AK695" s="36"/>
    </row>
    <row r="696" spans="1:37" x14ac:dyDescent="0.3">
      <c r="A696" s="43"/>
      <c r="B696" s="13">
        <v>46254</v>
      </c>
      <c r="C696" s="70">
        <v>6681</v>
      </c>
      <c r="D696" s="61" t="s">
        <v>1947</v>
      </c>
      <c r="E696" s="110" t="s">
        <v>1981</v>
      </c>
      <c r="F696" s="60" t="s">
        <v>1912</v>
      </c>
      <c r="G696" s="114">
        <v>46268</v>
      </c>
      <c r="H696" s="15" t="s">
        <v>251</v>
      </c>
      <c r="I696" s="15"/>
      <c r="J696" s="15"/>
      <c r="K696" s="29">
        <v>42022</v>
      </c>
      <c r="L696" s="29">
        <v>46058</v>
      </c>
      <c r="M696" s="29" t="s">
        <v>216</v>
      </c>
      <c r="N696" s="29" t="s">
        <v>67</v>
      </c>
      <c r="O696" s="29" t="s">
        <v>24</v>
      </c>
      <c r="P696" s="29" t="s">
        <v>217</v>
      </c>
      <c r="Q696" s="32">
        <v>45362</v>
      </c>
      <c r="R696" s="14" t="s">
        <v>1222</v>
      </c>
      <c r="S696" s="37"/>
      <c r="T696" s="38"/>
      <c r="U696" s="30"/>
      <c r="V696" s="39"/>
      <c r="W696" s="40"/>
      <c r="X696" s="39"/>
      <c r="Y696" s="41"/>
      <c r="Z696" s="9"/>
      <c r="AA696" s="9"/>
      <c r="AB696" s="9"/>
      <c r="AC696" s="7">
        <v>936054</v>
      </c>
      <c r="AD696" s="33"/>
      <c r="AE696" s="33"/>
      <c r="AF696" s="33"/>
      <c r="AG696" s="33"/>
      <c r="AH696" s="44"/>
      <c r="AI696" s="45"/>
      <c r="AJ696" s="36"/>
      <c r="AK696" s="36"/>
    </row>
    <row r="697" spans="1:37" x14ac:dyDescent="0.3">
      <c r="A697" s="43"/>
      <c r="B697" s="13">
        <v>46254</v>
      </c>
      <c r="C697" s="70">
        <v>10018955</v>
      </c>
      <c r="D697" s="61" t="s">
        <v>1926</v>
      </c>
      <c r="E697" s="111" t="s">
        <v>1926</v>
      </c>
      <c r="F697" s="60" t="s">
        <v>1897</v>
      </c>
      <c r="G697" s="114">
        <v>46268</v>
      </c>
      <c r="H697" s="15" t="s">
        <v>251</v>
      </c>
      <c r="I697" s="15"/>
      <c r="J697" s="15"/>
      <c r="K697" s="29">
        <v>45088</v>
      </c>
      <c r="L697" s="29">
        <v>45992</v>
      </c>
      <c r="M697" s="29" t="s">
        <v>211</v>
      </c>
      <c r="N697" s="29" t="s">
        <v>1207</v>
      </c>
      <c r="O697" s="29" t="s">
        <v>25</v>
      </c>
      <c r="P697" s="29" t="s">
        <v>212</v>
      </c>
      <c r="Q697" s="32"/>
      <c r="R697" s="14" t="s">
        <v>1222</v>
      </c>
      <c r="S697" s="37"/>
      <c r="T697" s="38"/>
      <c r="U697" s="30"/>
      <c r="V697" s="39"/>
      <c r="W697" s="40"/>
      <c r="X697" s="39"/>
      <c r="Y697" s="41"/>
      <c r="Z697" s="9"/>
      <c r="AA697" s="9"/>
      <c r="AB697" s="9"/>
      <c r="AC697" s="7">
        <v>74273</v>
      </c>
      <c r="AD697" s="33"/>
      <c r="AE697" s="33"/>
      <c r="AF697" s="33"/>
      <c r="AG697" s="33"/>
      <c r="AH697" s="44"/>
      <c r="AI697" s="45"/>
      <c r="AJ697" s="36"/>
      <c r="AK697" s="36"/>
    </row>
    <row r="698" spans="1:37" x14ac:dyDescent="0.3">
      <c r="A698" s="43"/>
      <c r="B698" s="13">
        <v>46254</v>
      </c>
      <c r="C698" s="70">
        <v>10025225</v>
      </c>
      <c r="D698" s="61" t="s">
        <v>1954</v>
      </c>
      <c r="E698" s="111" t="s">
        <v>1954</v>
      </c>
      <c r="F698" s="60" t="s">
        <v>1916</v>
      </c>
      <c r="G698" s="114">
        <v>46268</v>
      </c>
      <c r="H698" s="15" t="s">
        <v>251</v>
      </c>
      <c r="I698" s="15"/>
      <c r="J698" s="15"/>
      <c r="K698" s="29">
        <v>46002</v>
      </c>
      <c r="L698" s="29">
        <v>46036</v>
      </c>
      <c r="M698" s="29" t="s">
        <v>211</v>
      </c>
      <c r="N698" s="29" t="s">
        <v>192</v>
      </c>
      <c r="O698" s="29" t="s">
        <v>23</v>
      </c>
      <c r="P698" s="29" t="s">
        <v>212</v>
      </c>
      <c r="Q698" s="32"/>
      <c r="R698" s="14" t="s">
        <v>1222</v>
      </c>
      <c r="S698" s="37"/>
      <c r="T698" s="38"/>
      <c r="U698" s="30"/>
      <c r="V698" s="39"/>
      <c r="W698" s="40"/>
      <c r="X698" s="39"/>
      <c r="Y698" s="41"/>
      <c r="Z698" s="9"/>
      <c r="AA698" s="9"/>
      <c r="AB698" s="9"/>
      <c r="AC698" s="7">
        <v>27264</v>
      </c>
      <c r="AD698" s="33"/>
      <c r="AE698" s="33"/>
      <c r="AF698" s="33"/>
      <c r="AG698" s="33"/>
      <c r="AH698" s="44"/>
      <c r="AI698" s="45"/>
      <c r="AJ698" s="36"/>
      <c r="AK698" s="36"/>
    </row>
    <row r="699" spans="1:37" x14ac:dyDescent="0.3">
      <c r="A699" s="43"/>
      <c r="B699" s="13">
        <v>46254</v>
      </c>
      <c r="C699" s="70">
        <v>14085</v>
      </c>
      <c r="D699" s="61" t="s">
        <v>1950</v>
      </c>
      <c r="E699" s="111"/>
      <c r="F699" s="60" t="s">
        <v>277</v>
      </c>
      <c r="G699" s="68">
        <v>46271</v>
      </c>
      <c r="H699" s="15" t="s">
        <v>251</v>
      </c>
      <c r="I699" s="15"/>
      <c r="J699" s="15"/>
      <c r="K699" s="29">
        <v>43922</v>
      </c>
      <c r="L699" s="29">
        <v>46056</v>
      </c>
      <c r="M699" s="29" t="s">
        <v>219</v>
      </c>
      <c r="N699" s="29" t="s">
        <v>108</v>
      </c>
      <c r="O699" s="29" t="s">
        <v>23</v>
      </c>
      <c r="P699" s="29" t="s">
        <v>214</v>
      </c>
      <c r="Q699" s="32">
        <v>45292</v>
      </c>
      <c r="R699" s="14" t="s">
        <v>1222</v>
      </c>
      <c r="S699" s="37"/>
      <c r="T699" s="38"/>
      <c r="U699" s="30"/>
      <c r="V699" s="39"/>
      <c r="W699" s="40"/>
      <c r="X699" s="39"/>
      <c r="Y699" s="41"/>
      <c r="Z699" s="9"/>
      <c r="AA699" s="9"/>
      <c r="AB699" s="9"/>
      <c r="AC699" s="7">
        <v>321002</v>
      </c>
      <c r="AD699" s="33"/>
      <c r="AE699" s="33"/>
      <c r="AF699" s="33"/>
      <c r="AG699" s="33"/>
      <c r="AH699" s="44"/>
      <c r="AI699" s="45"/>
      <c r="AJ699" s="36"/>
      <c r="AK699" s="36"/>
    </row>
    <row r="700" spans="1:37" x14ac:dyDescent="0.3">
      <c r="A700" s="43"/>
      <c r="B700" s="13">
        <v>46254</v>
      </c>
      <c r="C700" s="70">
        <v>10018455</v>
      </c>
      <c r="D700" s="61" t="s">
        <v>1927</v>
      </c>
      <c r="E700" s="110" t="s">
        <v>1983</v>
      </c>
      <c r="F700" s="60" t="s">
        <v>1914</v>
      </c>
      <c r="G700" s="68">
        <v>46271</v>
      </c>
      <c r="H700" s="15" t="s">
        <v>251</v>
      </c>
      <c r="I700" s="15"/>
      <c r="J700" s="15"/>
      <c r="K700" s="29">
        <v>44995</v>
      </c>
      <c r="L700" s="29">
        <v>46042</v>
      </c>
      <c r="M700" s="29" t="s">
        <v>220</v>
      </c>
      <c r="N700" s="29" t="s">
        <v>301</v>
      </c>
      <c r="O700" s="29" t="s">
        <v>17</v>
      </c>
      <c r="P700" s="29" t="s">
        <v>221</v>
      </c>
      <c r="Q700" s="32"/>
      <c r="R700" s="14" t="s">
        <v>1222</v>
      </c>
      <c r="S700" s="37"/>
      <c r="T700" s="38"/>
      <c r="U700" s="30"/>
      <c r="V700" s="39"/>
      <c r="W700" s="40"/>
      <c r="X700" s="39"/>
      <c r="Y700" s="41"/>
      <c r="Z700" s="9"/>
      <c r="AA700" s="9"/>
      <c r="AB700" s="9"/>
      <c r="AC700" s="7">
        <v>64247</v>
      </c>
      <c r="AD700" s="33"/>
      <c r="AE700" s="33"/>
      <c r="AF700" s="33"/>
      <c r="AG700" s="33"/>
      <c r="AH700" s="44"/>
      <c r="AI700" s="45"/>
      <c r="AJ700" s="36"/>
      <c r="AK700" s="36"/>
    </row>
    <row r="701" spans="1:37" x14ac:dyDescent="0.3">
      <c r="A701" s="43"/>
      <c r="B701" s="13">
        <v>46254</v>
      </c>
      <c r="C701" s="70">
        <v>10024379</v>
      </c>
      <c r="D701" s="61" t="s">
        <v>1953</v>
      </c>
      <c r="E701" s="111" t="s">
        <v>1953</v>
      </c>
      <c r="F701" s="60" t="s">
        <v>1915</v>
      </c>
      <c r="G701" s="68">
        <v>46271</v>
      </c>
      <c r="H701" s="15" t="s">
        <v>251</v>
      </c>
      <c r="I701" s="15"/>
      <c r="J701" s="15"/>
      <c r="K701" s="29">
        <v>45900</v>
      </c>
      <c r="L701" s="29">
        <v>46113</v>
      </c>
      <c r="M701" s="29" t="s">
        <v>211</v>
      </c>
      <c r="N701" s="29" t="s">
        <v>167</v>
      </c>
      <c r="O701" s="29" t="s">
        <v>24</v>
      </c>
      <c r="P701" s="29" t="s">
        <v>212</v>
      </c>
      <c r="Q701" s="32"/>
      <c r="R701" s="14" t="s">
        <v>1222</v>
      </c>
      <c r="S701" s="37"/>
      <c r="T701" s="38"/>
      <c r="U701" s="30"/>
      <c r="V701" s="39"/>
      <c r="W701" s="40"/>
      <c r="X701" s="39"/>
      <c r="Y701" s="41"/>
      <c r="Z701" s="9"/>
      <c r="AA701" s="9"/>
      <c r="AB701" s="9"/>
      <c r="AC701" s="7">
        <v>32660</v>
      </c>
      <c r="AD701" s="33"/>
      <c r="AE701" s="33"/>
      <c r="AF701" s="33"/>
      <c r="AG701" s="33"/>
      <c r="AH701" s="44"/>
      <c r="AI701" s="45"/>
      <c r="AJ701" s="36"/>
      <c r="AK701" s="36"/>
    </row>
    <row r="702" spans="1:37" x14ac:dyDescent="0.3">
      <c r="A702" s="43"/>
      <c r="B702" s="13">
        <v>46254</v>
      </c>
      <c r="C702" s="70">
        <v>10021221</v>
      </c>
      <c r="D702" s="61" t="s">
        <v>1965</v>
      </c>
      <c r="E702" s="111" t="s">
        <v>1965</v>
      </c>
      <c r="F702" s="60" t="s">
        <v>1903</v>
      </c>
      <c r="G702" s="68">
        <v>46271</v>
      </c>
      <c r="H702" s="15" t="s">
        <v>251</v>
      </c>
      <c r="I702" s="15"/>
      <c r="J702" s="15"/>
      <c r="K702" s="29">
        <v>45444</v>
      </c>
      <c r="L702" s="29">
        <v>46023</v>
      </c>
      <c r="M702" s="29" t="s">
        <v>211</v>
      </c>
      <c r="N702" s="29" t="s">
        <v>108</v>
      </c>
      <c r="O702" s="29" t="s">
        <v>23</v>
      </c>
      <c r="P702" s="29" t="s">
        <v>212</v>
      </c>
      <c r="Q702" s="32"/>
      <c r="R702" s="14" t="s">
        <v>1222</v>
      </c>
      <c r="S702" s="37"/>
      <c r="T702" s="38"/>
      <c r="U702" s="30"/>
      <c r="V702" s="39"/>
      <c r="W702" s="40"/>
      <c r="X702" s="39"/>
      <c r="Y702" s="41"/>
      <c r="Z702" s="9"/>
      <c r="AA702" s="9"/>
      <c r="AB702" s="9"/>
      <c r="AC702" s="7">
        <v>12950</v>
      </c>
      <c r="AD702" s="33"/>
      <c r="AE702" s="33"/>
      <c r="AF702" s="33"/>
      <c r="AG702" s="33"/>
      <c r="AH702" s="44"/>
      <c r="AI702" s="45"/>
      <c r="AJ702" s="36"/>
      <c r="AK702" s="36"/>
    </row>
    <row r="703" spans="1:37" x14ac:dyDescent="0.3">
      <c r="A703" s="43"/>
      <c r="B703" s="13">
        <v>46254</v>
      </c>
      <c r="C703" s="70">
        <v>10019975</v>
      </c>
      <c r="D703" s="61" t="s">
        <v>1966</v>
      </c>
      <c r="E703" s="111" t="s">
        <v>1966</v>
      </c>
      <c r="F703" s="60" t="s">
        <v>1904</v>
      </c>
      <c r="G703" s="68">
        <v>46271</v>
      </c>
      <c r="H703" s="15" t="s">
        <v>251</v>
      </c>
      <c r="I703" s="15"/>
      <c r="J703" s="15"/>
      <c r="K703" s="29">
        <v>45273</v>
      </c>
      <c r="L703" s="29">
        <v>45992</v>
      </c>
      <c r="M703" s="29" t="s">
        <v>211</v>
      </c>
      <c r="N703" s="29" t="s">
        <v>95</v>
      </c>
      <c r="O703" s="29" t="s">
        <v>23</v>
      </c>
      <c r="P703" s="29" t="s">
        <v>212</v>
      </c>
      <c r="Q703" s="32"/>
      <c r="R703" s="14" t="s">
        <v>1222</v>
      </c>
      <c r="S703" s="37"/>
      <c r="T703" s="38"/>
      <c r="U703" s="30"/>
      <c r="V703" s="39"/>
      <c r="W703" s="40"/>
      <c r="X703" s="39"/>
      <c r="Y703" s="41"/>
      <c r="Z703" s="9"/>
      <c r="AA703" s="9"/>
      <c r="AB703" s="9"/>
      <c r="AC703" s="7">
        <v>27626</v>
      </c>
      <c r="AD703" s="33"/>
      <c r="AE703" s="33"/>
      <c r="AF703" s="33"/>
      <c r="AG703" s="33"/>
      <c r="AH703" s="44"/>
      <c r="AI703" s="45"/>
      <c r="AJ703" s="36"/>
      <c r="AK703" s="36"/>
    </row>
    <row r="704" spans="1:37" x14ac:dyDescent="0.3">
      <c r="A704" s="43"/>
      <c r="B704" s="13">
        <v>46254</v>
      </c>
      <c r="C704" s="70">
        <v>30016512</v>
      </c>
      <c r="D704" s="61" t="s">
        <v>1934</v>
      </c>
      <c r="E704" s="111" t="s">
        <v>1934</v>
      </c>
      <c r="F704" s="60" t="s">
        <v>722</v>
      </c>
      <c r="G704" s="68">
        <v>46271</v>
      </c>
      <c r="H704" s="15" t="s">
        <v>251</v>
      </c>
      <c r="I704" s="15"/>
      <c r="J704" s="15"/>
      <c r="K704" s="29">
        <v>44852</v>
      </c>
      <c r="L704" s="29">
        <v>46098</v>
      </c>
      <c r="M704" s="29" t="s">
        <v>1935</v>
      </c>
      <c r="N704" s="29" t="s">
        <v>661</v>
      </c>
      <c r="O704" s="29" t="s">
        <v>27</v>
      </c>
      <c r="P704" s="29" t="s">
        <v>221</v>
      </c>
      <c r="Q704" s="32"/>
      <c r="R704" s="14" t="s">
        <v>1222</v>
      </c>
      <c r="S704" s="37"/>
      <c r="T704" s="38"/>
      <c r="U704" s="30"/>
      <c r="V704" s="39"/>
      <c r="W704" s="40"/>
      <c r="X704" s="39"/>
      <c r="Y704" s="41"/>
      <c r="Z704" s="9"/>
      <c r="AA704" s="9"/>
      <c r="AB704" s="9"/>
      <c r="AC704" s="7">
        <v>9074</v>
      </c>
      <c r="AD704" s="33"/>
      <c r="AE704" s="33"/>
      <c r="AF704" s="33"/>
      <c r="AG704" s="33"/>
      <c r="AH704" s="44"/>
      <c r="AI704" s="45"/>
      <c r="AJ704" s="36"/>
      <c r="AK704" s="36"/>
    </row>
    <row r="705" spans="1:37" x14ac:dyDescent="0.3">
      <c r="A705" s="31"/>
      <c r="B705" s="13">
        <v>46147</v>
      </c>
      <c r="C705" s="60">
        <v>10019527</v>
      </c>
      <c r="D705" s="30" t="s">
        <v>1857</v>
      </c>
      <c r="E705" s="30" t="s">
        <v>1857</v>
      </c>
      <c r="F705" s="65" t="s">
        <v>1246</v>
      </c>
      <c r="G705" s="68">
        <v>46272</v>
      </c>
      <c r="H705" s="15" t="s">
        <v>251</v>
      </c>
      <c r="I705" s="15"/>
      <c r="J705" s="15" t="e">
        <v>#N/A</v>
      </c>
      <c r="K705" s="29">
        <v>45180</v>
      </c>
      <c r="L705" s="29">
        <v>45810</v>
      </c>
      <c r="M705" s="29" t="s">
        <v>211</v>
      </c>
      <c r="N705" s="29" t="s">
        <v>177</v>
      </c>
      <c r="O705" s="29" t="s">
        <v>24</v>
      </c>
      <c r="P705" s="29" t="s">
        <v>212</v>
      </c>
      <c r="Q705" s="32"/>
      <c r="R705" s="14" t="s">
        <v>1222</v>
      </c>
      <c r="S705" s="37"/>
      <c r="T705" s="38"/>
      <c r="U705" s="30"/>
      <c r="V705" s="39"/>
      <c r="W705" s="40"/>
      <c r="X705" s="39"/>
      <c r="Y705" s="41"/>
      <c r="Z705" s="9"/>
      <c r="AA705" s="9"/>
      <c r="AB705" s="9"/>
      <c r="AC705" s="7">
        <v>34526</v>
      </c>
      <c r="AD705" s="33"/>
      <c r="AE705" s="33"/>
      <c r="AF705" s="33"/>
      <c r="AG705" s="66">
        <v>46331</v>
      </c>
      <c r="AH705" s="44"/>
      <c r="AI705" s="45"/>
      <c r="AJ705" s="36"/>
      <c r="AK705" s="36"/>
    </row>
    <row r="706" spans="1:37" x14ac:dyDescent="0.3">
      <c r="A706" s="31"/>
      <c r="B706" s="13">
        <v>46216</v>
      </c>
      <c r="C706" s="70">
        <v>13659</v>
      </c>
      <c r="D706" s="61" t="s">
        <v>1768</v>
      </c>
      <c r="E706" s="30" t="s">
        <v>1822</v>
      </c>
      <c r="F706" s="65" t="s">
        <v>1661</v>
      </c>
      <c r="G706" s="68">
        <v>46272</v>
      </c>
      <c r="H706" s="15" t="s">
        <v>251</v>
      </c>
      <c r="I706" s="63"/>
      <c r="J706" s="15"/>
      <c r="K706" s="29">
        <v>43850</v>
      </c>
      <c r="L706" s="29">
        <v>45962</v>
      </c>
      <c r="M706" s="29" t="s">
        <v>219</v>
      </c>
      <c r="N706" s="29" t="s">
        <v>118</v>
      </c>
      <c r="O706" s="29" t="s">
        <v>23</v>
      </c>
      <c r="P706" s="29" t="s">
        <v>214</v>
      </c>
      <c r="Q706" s="32">
        <v>44562</v>
      </c>
      <c r="R706" s="14" t="s">
        <v>1222</v>
      </c>
      <c r="S706" s="37"/>
      <c r="T706" s="38"/>
      <c r="U706" s="30"/>
      <c r="V706" s="39"/>
      <c r="W706" s="40"/>
      <c r="X706" s="39"/>
      <c r="Y706" s="41"/>
      <c r="Z706" s="9"/>
      <c r="AA706" s="9"/>
      <c r="AB706" s="9"/>
      <c r="AC706" s="7">
        <v>320780</v>
      </c>
      <c r="AD706" s="33"/>
      <c r="AE706" s="33"/>
      <c r="AF706" s="33"/>
      <c r="AG706" s="66"/>
      <c r="AH706" s="44"/>
      <c r="AI706" s="45"/>
      <c r="AJ706" s="36"/>
      <c r="AK706" s="36"/>
    </row>
    <row r="707" spans="1:37" x14ac:dyDescent="0.3">
      <c r="A707" s="43"/>
      <c r="B707" s="13">
        <v>46254</v>
      </c>
      <c r="C707" s="70">
        <v>10023321</v>
      </c>
      <c r="D707" s="61" t="s">
        <v>1958</v>
      </c>
      <c r="E707" s="111" t="s">
        <v>1958</v>
      </c>
      <c r="F707" s="60" t="s">
        <v>63</v>
      </c>
      <c r="G707" s="68">
        <v>46272</v>
      </c>
      <c r="H707" s="15" t="s">
        <v>251</v>
      </c>
      <c r="I707" s="15"/>
      <c r="J707" s="15"/>
      <c r="K707" s="29">
        <v>45721</v>
      </c>
      <c r="L707" s="29">
        <v>45971</v>
      </c>
      <c r="M707" s="29" t="s">
        <v>236</v>
      </c>
      <c r="N707" s="29" t="s">
        <v>142</v>
      </c>
      <c r="O707" s="29" t="s">
        <v>23</v>
      </c>
      <c r="P707" s="29" t="s">
        <v>212</v>
      </c>
      <c r="Q707" s="32"/>
      <c r="R707" s="14" t="s">
        <v>1222</v>
      </c>
      <c r="S707" s="37"/>
      <c r="T707" s="38"/>
      <c r="U707" s="30"/>
      <c r="V707" s="39"/>
      <c r="W707" s="40"/>
      <c r="X707" s="39"/>
      <c r="Y707" s="41"/>
      <c r="Z707" s="9"/>
      <c r="AA707" s="9"/>
      <c r="AB707" s="9"/>
      <c r="AC707" s="7">
        <v>18613</v>
      </c>
      <c r="AD707" s="33"/>
      <c r="AE707" s="33"/>
      <c r="AF707" s="33"/>
      <c r="AG707" s="33"/>
      <c r="AH707" s="44"/>
      <c r="AI707" s="45"/>
      <c r="AJ707" s="36"/>
      <c r="AK707" s="36"/>
    </row>
    <row r="708" spans="1:37" x14ac:dyDescent="0.3">
      <c r="A708" s="43"/>
      <c r="B708" s="13">
        <v>46254</v>
      </c>
      <c r="C708" s="70">
        <v>11010</v>
      </c>
      <c r="D708" s="61" t="s">
        <v>1961</v>
      </c>
      <c r="E708" s="111" t="s">
        <v>1932</v>
      </c>
      <c r="F708" s="60" t="s">
        <v>53</v>
      </c>
      <c r="G708" s="68">
        <v>46272</v>
      </c>
      <c r="H708" s="15" t="s">
        <v>251</v>
      </c>
      <c r="I708" s="15"/>
      <c r="J708" s="15"/>
      <c r="K708" s="29">
        <v>43230</v>
      </c>
      <c r="L708" s="29">
        <v>46082</v>
      </c>
      <c r="M708" s="29" t="s">
        <v>219</v>
      </c>
      <c r="N708" s="29" t="s">
        <v>160</v>
      </c>
      <c r="O708" s="29" t="s">
        <v>24</v>
      </c>
      <c r="P708" s="29" t="s">
        <v>214</v>
      </c>
      <c r="Q708" s="32"/>
      <c r="R708" s="14" t="s">
        <v>1222</v>
      </c>
      <c r="S708" s="37"/>
      <c r="T708" s="38"/>
      <c r="U708" s="30"/>
      <c r="V708" s="39"/>
      <c r="W708" s="40"/>
      <c r="X708" s="39"/>
      <c r="Y708" s="41"/>
      <c r="Z708" s="9"/>
      <c r="AA708" s="9"/>
      <c r="AB708" s="9"/>
      <c r="AC708" s="7">
        <v>492271</v>
      </c>
      <c r="AD708" s="33"/>
      <c r="AE708" s="33"/>
      <c r="AF708" s="33"/>
      <c r="AG708" s="33"/>
      <c r="AH708" s="44"/>
      <c r="AI708" s="45"/>
      <c r="AJ708" s="36"/>
      <c r="AK708" s="36"/>
    </row>
    <row r="709" spans="1:37" x14ac:dyDescent="0.3">
      <c r="A709" s="43"/>
      <c r="B709" s="13">
        <v>46254</v>
      </c>
      <c r="C709" s="70">
        <v>10022764</v>
      </c>
      <c r="D709" s="61" t="s">
        <v>1963</v>
      </c>
      <c r="E709" s="111" t="s">
        <v>1963</v>
      </c>
      <c r="F709" s="60" t="s">
        <v>1901</v>
      </c>
      <c r="G709" s="68">
        <v>46272</v>
      </c>
      <c r="H709" s="15" t="s">
        <v>251</v>
      </c>
      <c r="I709" s="15"/>
      <c r="J709" s="15"/>
      <c r="K709" s="29">
        <v>45663</v>
      </c>
      <c r="L709" s="29">
        <v>46023</v>
      </c>
      <c r="M709" s="29" t="s">
        <v>236</v>
      </c>
      <c r="N709" s="29" t="s">
        <v>146</v>
      </c>
      <c r="O709" s="29" t="s">
        <v>23</v>
      </c>
      <c r="P709" s="29" t="s">
        <v>212</v>
      </c>
      <c r="Q709" s="32"/>
      <c r="R709" s="14" t="s">
        <v>1222</v>
      </c>
      <c r="S709" s="37"/>
      <c r="T709" s="38"/>
      <c r="U709" s="30"/>
      <c r="V709" s="39"/>
      <c r="W709" s="40"/>
      <c r="X709" s="39"/>
      <c r="Y709" s="41"/>
      <c r="Z709" s="9"/>
      <c r="AA709" s="9"/>
      <c r="AB709" s="9"/>
      <c r="AC709" s="7">
        <v>17757</v>
      </c>
      <c r="AD709" s="33"/>
      <c r="AE709" s="33"/>
      <c r="AF709" s="33"/>
      <c r="AG709" s="33"/>
      <c r="AH709" s="44"/>
      <c r="AI709" s="45"/>
      <c r="AJ709" s="36"/>
      <c r="AK709" s="36"/>
    </row>
    <row r="710" spans="1:37" x14ac:dyDescent="0.3">
      <c r="A710" s="43"/>
      <c r="B710" s="13">
        <v>46254</v>
      </c>
      <c r="C710" s="70">
        <v>10021854</v>
      </c>
      <c r="D710" s="61" t="s">
        <v>1968</v>
      </c>
      <c r="E710" s="111" t="s">
        <v>1968</v>
      </c>
      <c r="F710" s="60" t="s">
        <v>1905</v>
      </c>
      <c r="G710" s="68">
        <v>46272</v>
      </c>
      <c r="H710" s="15" t="s">
        <v>251</v>
      </c>
      <c r="I710" s="15"/>
      <c r="J710" s="15"/>
      <c r="K710" s="29">
        <v>45536</v>
      </c>
      <c r="L710" s="29">
        <v>45785</v>
      </c>
      <c r="M710" s="29" t="s">
        <v>219</v>
      </c>
      <c r="N710" s="29" t="s">
        <v>168</v>
      </c>
      <c r="O710" s="29" t="s">
        <v>23</v>
      </c>
      <c r="P710" s="29" t="s">
        <v>214</v>
      </c>
      <c r="Q710" s="32"/>
      <c r="R710" s="14" t="s">
        <v>1222</v>
      </c>
      <c r="S710" s="37"/>
      <c r="T710" s="38"/>
      <c r="U710" s="30"/>
      <c r="V710" s="39"/>
      <c r="W710" s="40"/>
      <c r="X710" s="39"/>
      <c r="Y710" s="41"/>
      <c r="Z710" s="9"/>
      <c r="AA710" s="9"/>
      <c r="AB710" s="9"/>
      <c r="AC710" s="7">
        <v>5823</v>
      </c>
      <c r="AD710" s="33"/>
      <c r="AE710" s="33"/>
      <c r="AF710" s="33"/>
      <c r="AG710" s="33"/>
      <c r="AH710" s="44"/>
      <c r="AI710" s="45"/>
      <c r="AJ710" s="36"/>
      <c r="AK710" s="36"/>
    </row>
    <row r="711" spans="1:37" x14ac:dyDescent="0.3">
      <c r="A711" s="43"/>
      <c r="B711" s="13">
        <v>46254</v>
      </c>
      <c r="C711" s="70">
        <v>6669</v>
      </c>
      <c r="D711" s="61" t="s">
        <v>1948</v>
      </c>
      <c r="E711" s="111" t="s">
        <v>1982</v>
      </c>
      <c r="F711" s="60" t="s">
        <v>1913</v>
      </c>
      <c r="G711" s="68">
        <v>46273</v>
      </c>
      <c r="H711" s="15" t="s">
        <v>251</v>
      </c>
      <c r="I711" s="15"/>
      <c r="J711" s="15"/>
      <c r="K711" s="29">
        <v>42008</v>
      </c>
      <c r="L711" s="29">
        <v>46022</v>
      </c>
      <c r="M711" s="29" t="s">
        <v>216</v>
      </c>
      <c r="N711" s="29" t="s">
        <v>138</v>
      </c>
      <c r="O711" s="29" t="s">
        <v>23</v>
      </c>
      <c r="P711" s="29" t="s">
        <v>217</v>
      </c>
      <c r="Q711" s="32">
        <v>45300</v>
      </c>
      <c r="R711" s="14" t="s">
        <v>1222</v>
      </c>
      <c r="S711" s="37"/>
      <c r="T711" s="38"/>
      <c r="U711" s="30"/>
      <c r="V711" s="39"/>
      <c r="W711" s="40"/>
      <c r="X711" s="39"/>
      <c r="Y711" s="41"/>
      <c r="Z711" s="9"/>
      <c r="AA711" s="9"/>
      <c r="AB711" s="9"/>
      <c r="AC711" s="7">
        <v>988023</v>
      </c>
      <c r="AD711" s="33"/>
      <c r="AE711" s="33"/>
      <c r="AF711" s="33"/>
      <c r="AG711" s="33"/>
      <c r="AH711" s="44"/>
      <c r="AI711" s="45"/>
      <c r="AJ711" s="36"/>
      <c r="AK711" s="36"/>
    </row>
    <row r="712" spans="1:37" x14ac:dyDescent="0.3">
      <c r="A712" s="43"/>
      <c r="B712" s="13">
        <v>46254</v>
      </c>
      <c r="C712" s="70">
        <v>10022270</v>
      </c>
      <c r="D712" s="61" t="s">
        <v>1962</v>
      </c>
      <c r="E712" s="111" t="s">
        <v>1962</v>
      </c>
      <c r="F712" s="60" t="s">
        <v>1900</v>
      </c>
      <c r="G712" s="68">
        <v>46273</v>
      </c>
      <c r="H712" s="15" t="s">
        <v>251</v>
      </c>
      <c r="I712" s="15"/>
      <c r="J712" s="15"/>
      <c r="K712" s="29">
        <v>45599</v>
      </c>
      <c r="L712" s="29">
        <v>45988</v>
      </c>
      <c r="M712" s="29" t="s">
        <v>211</v>
      </c>
      <c r="N712" s="29" t="s">
        <v>119</v>
      </c>
      <c r="O712" s="29" t="s">
        <v>23</v>
      </c>
      <c r="P712" s="29" t="s">
        <v>212</v>
      </c>
      <c r="Q712" s="32"/>
      <c r="R712" s="14" t="s">
        <v>1222</v>
      </c>
      <c r="S712" s="37"/>
      <c r="T712" s="38"/>
      <c r="U712" s="30"/>
      <c r="V712" s="39"/>
      <c r="W712" s="40"/>
      <c r="X712" s="39"/>
      <c r="Y712" s="41"/>
      <c r="Z712" s="9"/>
      <c r="AA712" s="9"/>
      <c r="AB712" s="9"/>
      <c r="AC712" s="7">
        <v>19816</v>
      </c>
      <c r="AD712" s="33"/>
      <c r="AE712" s="33"/>
      <c r="AF712" s="33"/>
      <c r="AG712" s="33"/>
      <c r="AH712" s="44"/>
      <c r="AI712" s="45"/>
      <c r="AJ712" s="36"/>
      <c r="AK712" s="36"/>
    </row>
    <row r="713" spans="1:37" x14ac:dyDescent="0.3">
      <c r="A713" s="43"/>
      <c r="B713" s="13">
        <v>46254</v>
      </c>
      <c r="C713" s="70">
        <v>9241</v>
      </c>
      <c r="D713" s="61" t="s">
        <v>1977</v>
      </c>
      <c r="E713" s="111" t="s">
        <v>1991</v>
      </c>
      <c r="F713" s="60" t="s">
        <v>1911</v>
      </c>
      <c r="G713" s="68">
        <v>46273</v>
      </c>
      <c r="H713" s="15" t="s">
        <v>251</v>
      </c>
      <c r="I713" s="15"/>
      <c r="J713" s="15"/>
      <c r="K713" s="29">
        <v>42766</v>
      </c>
      <c r="L713" s="29">
        <v>46022</v>
      </c>
      <c r="M713" s="29" t="s">
        <v>215</v>
      </c>
      <c r="N713" s="29" t="s">
        <v>158</v>
      </c>
      <c r="O713" s="29" t="s">
        <v>23</v>
      </c>
      <c r="P713" s="29" t="s">
        <v>223</v>
      </c>
      <c r="Q713" s="32">
        <v>44562</v>
      </c>
      <c r="R713" s="14" t="s">
        <v>1222</v>
      </c>
      <c r="S713" s="37"/>
      <c r="T713" s="38"/>
      <c r="U713" s="30"/>
      <c r="V713" s="39"/>
      <c r="W713" s="40"/>
      <c r="X713" s="39"/>
      <c r="Y713" s="41"/>
      <c r="Z713" s="9"/>
      <c r="AA713" s="9"/>
      <c r="AB713" s="9"/>
      <c r="AC713" s="10">
        <v>934823</v>
      </c>
      <c r="AD713" s="33"/>
      <c r="AE713" s="33"/>
      <c r="AF713" s="33"/>
      <c r="AG713" s="33"/>
      <c r="AH713" s="44"/>
      <c r="AI713" s="45"/>
      <c r="AJ713" s="36"/>
      <c r="AK713" s="36"/>
    </row>
    <row r="714" spans="1:37" x14ac:dyDescent="0.3">
      <c r="A714" s="43"/>
      <c r="B714" s="13"/>
      <c r="C714" s="70">
        <v>10024830</v>
      </c>
      <c r="D714" s="61"/>
      <c r="E714" s="110"/>
      <c r="F714" s="60" t="s">
        <v>1994</v>
      </c>
      <c r="G714" s="68">
        <v>46274</v>
      </c>
      <c r="H714" s="15" t="s">
        <v>251</v>
      </c>
      <c r="I714" s="15" t="s">
        <v>1995</v>
      </c>
      <c r="J714" s="15"/>
      <c r="K714" s="29"/>
      <c r="L714" s="29"/>
      <c r="M714" s="29"/>
      <c r="N714" s="29"/>
      <c r="O714" s="29"/>
      <c r="P714" s="29"/>
      <c r="Q714" s="32"/>
      <c r="R714" s="14"/>
      <c r="S714" s="37"/>
      <c r="T714" s="38"/>
      <c r="U714" s="30"/>
      <c r="V714" s="39"/>
      <c r="W714" s="40"/>
      <c r="X714" s="39"/>
      <c r="Y714" s="41"/>
      <c r="Z714" s="9"/>
      <c r="AA714" s="9"/>
      <c r="AB714" s="9"/>
      <c r="AC714" s="7"/>
      <c r="AD714" s="33"/>
      <c r="AE714" s="33"/>
      <c r="AF714" s="33"/>
      <c r="AG714" s="33"/>
      <c r="AH714" s="44"/>
      <c r="AI714" s="45"/>
      <c r="AJ714" s="36"/>
      <c r="AK714" s="36"/>
    </row>
    <row r="715" spans="1:37" x14ac:dyDescent="0.3">
      <c r="A715" s="43"/>
      <c r="B715" s="13">
        <v>46254</v>
      </c>
      <c r="C715" s="70">
        <v>9909</v>
      </c>
      <c r="D715" s="61" t="s">
        <v>1946</v>
      </c>
      <c r="E715" s="110" t="s">
        <v>1980</v>
      </c>
      <c r="F715" s="60" t="s">
        <v>1896</v>
      </c>
      <c r="G715" s="68">
        <v>46275</v>
      </c>
      <c r="H715" s="15" t="s">
        <v>251</v>
      </c>
      <c r="I715" s="15"/>
      <c r="J715" s="15"/>
      <c r="K715" s="29">
        <v>42949</v>
      </c>
      <c r="L715" s="29">
        <v>45992</v>
      </c>
      <c r="M715" s="29" t="s">
        <v>216</v>
      </c>
      <c r="N715" s="29" t="s">
        <v>172</v>
      </c>
      <c r="O715" s="29" t="s">
        <v>24</v>
      </c>
      <c r="P715" s="29" t="s">
        <v>217</v>
      </c>
      <c r="Q715" s="32">
        <v>45352</v>
      </c>
      <c r="R715" s="14" t="s">
        <v>1222</v>
      </c>
      <c r="S715" s="37"/>
      <c r="T715" s="38"/>
      <c r="U715" s="30"/>
      <c r="V715" s="39"/>
      <c r="W715" s="40"/>
      <c r="X715" s="39"/>
      <c r="Y715" s="41"/>
      <c r="Z715" s="9"/>
      <c r="AA715" s="9"/>
      <c r="AB715" s="9"/>
      <c r="AC715" s="7">
        <v>607010</v>
      </c>
      <c r="AD715" s="33"/>
      <c r="AE715" s="33"/>
      <c r="AF715" s="33"/>
      <c r="AG715" s="33"/>
      <c r="AH715" s="44"/>
      <c r="AI715" s="45"/>
      <c r="AJ715" s="36"/>
      <c r="AK715" s="36"/>
    </row>
    <row r="716" spans="1:37" x14ac:dyDescent="0.3">
      <c r="A716" s="43"/>
      <c r="B716" s="13">
        <v>46254</v>
      </c>
      <c r="C716" s="70">
        <v>10020093</v>
      </c>
      <c r="D716" s="61" t="s">
        <v>1952</v>
      </c>
      <c r="E716" s="111" t="s">
        <v>1952</v>
      </c>
      <c r="F716" s="60" t="s">
        <v>1898</v>
      </c>
      <c r="G716" s="68">
        <v>46275</v>
      </c>
      <c r="H716" s="15" t="s">
        <v>251</v>
      </c>
      <c r="I716" s="15"/>
      <c r="J716" s="15"/>
      <c r="K716" s="29">
        <v>45296</v>
      </c>
      <c r="L716" s="29">
        <v>46023</v>
      </c>
      <c r="M716" s="29" t="s">
        <v>211</v>
      </c>
      <c r="N716" s="29" t="s">
        <v>286</v>
      </c>
      <c r="O716" s="29" t="s">
        <v>24</v>
      </c>
      <c r="P716" s="29" t="s">
        <v>212</v>
      </c>
      <c r="Q716" s="32"/>
      <c r="R716" s="14" t="s">
        <v>1222</v>
      </c>
      <c r="S716" s="37"/>
      <c r="T716" s="38"/>
      <c r="U716" s="30"/>
      <c r="V716" s="39"/>
      <c r="W716" s="40"/>
      <c r="X716" s="39"/>
      <c r="Y716" s="41"/>
      <c r="Z716" s="9"/>
      <c r="AA716" s="9"/>
      <c r="AB716" s="9"/>
      <c r="AC716" s="7">
        <v>53380</v>
      </c>
      <c r="AD716" s="33"/>
      <c r="AE716" s="33"/>
      <c r="AF716" s="33"/>
      <c r="AG716" s="33"/>
      <c r="AH716" s="44"/>
      <c r="AI716" s="45"/>
      <c r="AJ716" s="36"/>
      <c r="AK716" s="36"/>
    </row>
    <row r="717" spans="1:37" x14ac:dyDescent="0.3">
      <c r="A717" s="43"/>
      <c r="B717" s="13">
        <v>46254</v>
      </c>
      <c r="C717" s="70">
        <v>10020039</v>
      </c>
      <c r="D717" s="61" t="s">
        <v>1960</v>
      </c>
      <c r="E717" s="111" t="s">
        <v>72</v>
      </c>
      <c r="F717" s="60" t="s">
        <v>1899</v>
      </c>
      <c r="G717" s="68">
        <v>46275</v>
      </c>
      <c r="H717" s="15" t="s">
        <v>251</v>
      </c>
      <c r="I717" s="15"/>
      <c r="J717" s="15"/>
      <c r="K717" s="29">
        <v>45274</v>
      </c>
      <c r="L717" s="29">
        <v>46082</v>
      </c>
      <c r="M717" s="29" t="s">
        <v>211</v>
      </c>
      <c r="N717" s="29" t="s">
        <v>168</v>
      </c>
      <c r="O717" s="29" t="s">
        <v>23</v>
      </c>
      <c r="P717" s="29" t="s">
        <v>212</v>
      </c>
      <c r="Q717" s="32"/>
      <c r="R717" s="14" t="s">
        <v>1222</v>
      </c>
      <c r="S717" s="37"/>
      <c r="T717" s="38"/>
      <c r="U717" s="30"/>
      <c r="V717" s="39"/>
      <c r="W717" s="40"/>
      <c r="X717" s="39"/>
      <c r="Y717" s="41"/>
      <c r="Z717" s="9"/>
      <c r="AA717" s="9"/>
      <c r="AB717" s="9"/>
      <c r="AC717" s="7">
        <v>36813</v>
      </c>
      <c r="AD717" s="33"/>
      <c r="AE717" s="33"/>
      <c r="AF717" s="33"/>
      <c r="AG717" s="33"/>
      <c r="AH717" s="44"/>
      <c r="AI717" s="45"/>
      <c r="AJ717" s="36"/>
      <c r="AK717" s="36"/>
    </row>
    <row r="718" spans="1:37" x14ac:dyDescent="0.3">
      <c r="A718" s="43"/>
      <c r="B718" s="13">
        <v>46254</v>
      </c>
      <c r="C718" s="70">
        <v>10128</v>
      </c>
      <c r="D718" s="61" t="s">
        <v>1973</v>
      </c>
      <c r="E718" s="110" t="s">
        <v>1987</v>
      </c>
      <c r="F718" s="60" t="s">
        <v>1922</v>
      </c>
      <c r="G718" s="68">
        <v>46275</v>
      </c>
      <c r="H718" s="15" t="s">
        <v>251</v>
      </c>
      <c r="I718" s="15"/>
      <c r="J718" s="15"/>
      <c r="K718" s="29">
        <v>43008</v>
      </c>
      <c r="L718" s="29">
        <v>45991</v>
      </c>
      <c r="M718" s="29" t="s">
        <v>219</v>
      </c>
      <c r="N718" s="29" t="s">
        <v>92</v>
      </c>
      <c r="O718" s="29" t="s">
        <v>16</v>
      </c>
      <c r="P718" s="29" t="s">
        <v>214</v>
      </c>
      <c r="Q718" s="32"/>
      <c r="R718" s="14" t="s">
        <v>1222</v>
      </c>
      <c r="S718" s="37"/>
      <c r="T718" s="38"/>
      <c r="U718" s="30"/>
      <c r="V718" s="39"/>
      <c r="W718" s="40"/>
      <c r="X718" s="39"/>
      <c r="Y718" s="41"/>
      <c r="Z718" s="9"/>
      <c r="AA718" s="9"/>
      <c r="AB718" s="9"/>
      <c r="AC718" s="7">
        <v>266002</v>
      </c>
      <c r="AD718" s="33"/>
      <c r="AE718" s="33"/>
      <c r="AF718" s="33"/>
      <c r="AG718" s="33"/>
      <c r="AH718" s="44"/>
      <c r="AI718" s="45"/>
      <c r="AJ718" s="36"/>
      <c r="AK718" s="36"/>
    </row>
    <row r="719" spans="1:37" x14ac:dyDescent="0.3">
      <c r="A719" s="43"/>
      <c r="B719" s="13">
        <v>46254</v>
      </c>
      <c r="C719" s="70">
        <v>9805</v>
      </c>
      <c r="D719" s="61" t="s">
        <v>1974</v>
      </c>
      <c r="E719" s="110" t="s">
        <v>1988</v>
      </c>
      <c r="F719" s="60" t="s">
        <v>1909</v>
      </c>
      <c r="G719" s="68">
        <v>46275</v>
      </c>
      <c r="H719" s="15" t="s">
        <v>251</v>
      </c>
      <c r="I719" s="15"/>
      <c r="J719" s="15"/>
      <c r="K719" s="29">
        <v>42915</v>
      </c>
      <c r="L719" s="29">
        <v>45809</v>
      </c>
      <c r="M719" s="29" t="s">
        <v>216</v>
      </c>
      <c r="N719" s="29" t="s">
        <v>196</v>
      </c>
      <c r="O719" s="29" t="s">
        <v>16</v>
      </c>
      <c r="P719" s="29" t="s">
        <v>217</v>
      </c>
      <c r="Q719" s="32">
        <v>45658</v>
      </c>
      <c r="R719" s="14" t="s">
        <v>1222</v>
      </c>
      <c r="S719" s="37"/>
      <c r="T719" s="38"/>
      <c r="U719" s="30"/>
      <c r="V719" s="39"/>
      <c r="W719" s="40"/>
      <c r="X719" s="39"/>
      <c r="Y719" s="41"/>
      <c r="Z719" s="9"/>
      <c r="AA719" s="9"/>
      <c r="AB719" s="9"/>
      <c r="AC719" s="7">
        <v>170534</v>
      </c>
      <c r="AD719" s="33"/>
      <c r="AE719" s="33"/>
      <c r="AF719" s="33"/>
      <c r="AG719" s="33"/>
      <c r="AH719" s="44"/>
      <c r="AI719" s="45"/>
      <c r="AJ719" s="36"/>
      <c r="AK719" s="36"/>
    </row>
  </sheetData>
  <autoFilter ref="A1:AK1" xr:uid="{9D2B27F0-8081-4BBE-8B39-EE330E698353}"/>
  <conditionalFormatting sqref="C720:C1048576 C1:C691">
    <cfRule type="duplicateValues" dxfId="2838" priority="88"/>
  </conditionalFormatting>
  <conditionalFormatting sqref="C2:C3">
    <cfRule type="duplicateValues" dxfId="2837" priority="2985"/>
    <cfRule type="duplicateValues" dxfId="2836" priority="2986"/>
    <cfRule type="duplicateValues" dxfId="2835" priority="6142"/>
    <cfRule type="duplicateValues" dxfId="2834" priority="6143"/>
    <cfRule type="duplicateValues" dxfId="2833" priority="6144"/>
    <cfRule type="duplicateValues" dxfId="2832" priority="6145"/>
    <cfRule type="duplicateValues" dxfId="2831" priority="6146"/>
    <cfRule type="duplicateValues" dxfId="2830" priority="6147"/>
    <cfRule type="duplicateValues" dxfId="2829" priority="6148"/>
    <cfRule type="duplicateValues" dxfId="2828" priority="6149"/>
    <cfRule type="duplicateValues" dxfId="2827" priority="6150"/>
  </conditionalFormatting>
  <conditionalFormatting sqref="C4:C10">
    <cfRule type="duplicateValues" dxfId="2826" priority="6127"/>
    <cfRule type="duplicateValues" dxfId="2825" priority="6128"/>
    <cfRule type="duplicateValues" dxfId="2824" priority="6129"/>
    <cfRule type="duplicateValues" dxfId="2823" priority="6130"/>
    <cfRule type="duplicateValues" dxfId="2822" priority="6131"/>
    <cfRule type="duplicateValues" dxfId="2821" priority="6132"/>
    <cfRule type="duplicateValues" dxfId="2820" priority="6133"/>
    <cfRule type="duplicateValues" dxfId="2819" priority="6134"/>
    <cfRule type="duplicateValues" dxfId="2818" priority="6135"/>
    <cfRule type="duplicateValues" dxfId="2817" priority="6136"/>
    <cfRule type="duplicateValues" dxfId="2816" priority="6137"/>
    <cfRule type="duplicateValues" dxfId="2815" priority="6138"/>
  </conditionalFormatting>
  <conditionalFormatting sqref="C11">
    <cfRule type="duplicateValues" dxfId="2814" priority="6112"/>
    <cfRule type="duplicateValues" dxfId="2813" priority="6113"/>
    <cfRule type="duplicateValues" dxfId="2812" priority="6114"/>
    <cfRule type="duplicateValues" dxfId="2811" priority="6115"/>
    <cfRule type="duplicateValues" dxfId="2810" priority="6116"/>
    <cfRule type="duplicateValues" dxfId="2809" priority="6117"/>
    <cfRule type="duplicateValues" dxfId="2808" priority="6118"/>
    <cfRule type="duplicateValues" dxfId="2807" priority="6119"/>
    <cfRule type="duplicateValues" dxfId="2806" priority="6120"/>
    <cfRule type="duplicateValues" dxfId="2805" priority="6121"/>
    <cfRule type="duplicateValues" dxfId="2804" priority="6122"/>
    <cfRule type="duplicateValues" dxfId="2803" priority="6123"/>
  </conditionalFormatting>
  <conditionalFormatting sqref="C12:C13">
    <cfRule type="duplicateValues" dxfId="2802" priority="6099"/>
    <cfRule type="duplicateValues" dxfId="2801" priority="6100"/>
    <cfRule type="duplicateValues" dxfId="2800" priority="6101"/>
    <cfRule type="duplicateValues" dxfId="2799" priority="6102"/>
    <cfRule type="duplicateValues" dxfId="2798" priority="6103"/>
    <cfRule type="duplicateValues" dxfId="2797" priority="6104"/>
    <cfRule type="duplicateValues" dxfId="2796" priority="6105"/>
    <cfRule type="duplicateValues" dxfId="2795" priority="6106"/>
    <cfRule type="duplicateValues" dxfId="2794" priority="6107"/>
    <cfRule type="duplicateValues" dxfId="2793" priority="6108"/>
    <cfRule type="duplicateValues" dxfId="2792" priority="6109"/>
    <cfRule type="duplicateValues" dxfId="2791" priority="6110"/>
  </conditionalFormatting>
  <conditionalFormatting sqref="C14">
    <cfRule type="duplicateValues" dxfId="2790" priority="2931"/>
    <cfRule type="duplicateValues" dxfId="2789" priority="2932"/>
    <cfRule type="duplicateValues" dxfId="2788" priority="6088"/>
    <cfRule type="duplicateValues" dxfId="2787" priority="6089"/>
    <cfRule type="duplicateValues" dxfId="2786" priority="6090"/>
    <cfRule type="duplicateValues" dxfId="2785" priority="6091"/>
    <cfRule type="duplicateValues" dxfId="2784" priority="6092"/>
    <cfRule type="duplicateValues" dxfId="2783" priority="6093"/>
    <cfRule type="duplicateValues" dxfId="2782" priority="6094"/>
    <cfRule type="duplicateValues" dxfId="2781" priority="6095"/>
    <cfRule type="duplicateValues" dxfId="2780" priority="6096"/>
    <cfRule type="duplicateValues" dxfId="2779" priority="6097"/>
  </conditionalFormatting>
  <conditionalFormatting sqref="C15:C16">
    <cfRule type="duplicateValues" dxfId="2778" priority="6075"/>
    <cfRule type="duplicateValues" dxfId="2777" priority="6076"/>
    <cfRule type="duplicateValues" dxfId="2776" priority="6077"/>
    <cfRule type="duplicateValues" dxfId="2775" priority="6078"/>
    <cfRule type="duplicateValues" dxfId="2774" priority="6079"/>
    <cfRule type="duplicateValues" dxfId="2773" priority="6080"/>
    <cfRule type="duplicateValues" dxfId="2772" priority="6081"/>
    <cfRule type="duplicateValues" dxfId="2771" priority="6082"/>
    <cfRule type="duplicateValues" dxfId="2770" priority="6083"/>
    <cfRule type="duplicateValues" dxfId="2769" priority="6084"/>
    <cfRule type="duplicateValues" dxfId="2768" priority="6085"/>
    <cfRule type="duplicateValues" dxfId="2767" priority="6086"/>
  </conditionalFormatting>
  <conditionalFormatting sqref="C17:C18">
    <cfRule type="duplicateValues" dxfId="2766" priority="6062"/>
    <cfRule type="duplicateValues" dxfId="2765" priority="6063"/>
    <cfRule type="duplicateValues" dxfId="2764" priority="6064"/>
    <cfRule type="duplicateValues" dxfId="2763" priority="6065"/>
    <cfRule type="duplicateValues" dxfId="2762" priority="6066"/>
    <cfRule type="duplicateValues" dxfId="2761" priority="6067"/>
    <cfRule type="duplicateValues" dxfId="2760" priority="6068"/>
    <cfRule type="duplicateValues" dxfId="2759" priority="6069"/>
    <cfRule type="duplicateValues" dxfId="2758" priority="6070"/>
    <cfRule type="duplicateValues" dxfId="2757" priority="6071"/>
    <cfRule type="duplicateValues" dxfId="2756" priority="6072"/>
    <cfRule type="duplicateValues" dxfId="2755" priority="6073"/>
  </conditionalFormatting>
  <conditionalFormatting sqref="C19:C26">
    <cfRule type="duplicateValues" dxfId="2754" priority="2892"/>
    <cfRule type="duplicateValues" dxfId="2753" priority="2893"/>
    <cfRule type="duplicateValues" dxfId="2752" priority="6051"/>
    <cfRule type="duplicateValues" dxfId="2751" priority="6052"/>
    <cfRule type="duplicateValues" dxfId="2750" priority="6053"/>
    <cfRule type="duplicateValues" dxfId="2749" priority="6054"/>
    <cfRule type="duplicateValues" dxfId="2748" priority="6055"/>
    <cfRule type="duplicateValues" dxfId="2747" priority="6056"/>
    <cfRule type="duplicateValues" dxfId="2746" priority="6057"/>
    <cfRule type="duplicateValues" dxfId="2745" priority="6058"/>
    <cfRule type="duplicateValues" dxfId="2744" priority="6059"/>
    <cfRule type="duplicateValues" dxfId="2743" priority="6060"/>
  </conditionalFormatting>
  <conditionalFormatting sqref="C27:C28">
    <cfRule type="duplicateValues" dxfId="2742" priority="6038"/>
    <cfRule type="duplicateValues" dxfId="2741" priority="6039"/>
    <cfRule type="duplicateValues" dxfId="2740" priority="6040"/>
    <cfRule type="duplicateValues" dxfId="2739" priority="6041"/>
    <cfRule type="duplicateValues" dxfId="2738" priority="6042"/>
    <cfRule type="duplicateValues" dxfId="2737" priority="6043"/>
    <cfRule type="duplicateValues" dxfId="2736" priority="6044"/>
    <cfRule type="duplicateValues" dxfId="2735" priority="6045"/>
    <cfRule type="duplicateValues" dxfId="2734" priority="6046"/>
    <cfRule type="duplicateValues" dxfId="2733" priority="6047"/>
    <cfRule type="duplicateValues" dxfId="2732" priority="6048"/>
    <cfRule type="duplicateValues" dxfId="2731" priority="6049"/>
  </conditionalFormatting>
  <conditionalFormatting sqref="C29:C37">
    <cfRule type="duplicateValues" dxfId="2730" priority="6025"/>
    <cfRule type="duplicateValues" dxfId="2729" priority="6026"/>
    <cfRule type="duplicateValues" dxfId="2728" priority="6027"/>
    <cfRule type="duplicateValues" dxfId="2727" priority="6028"/>
    <cfRule type="duplicateValues" dxfId="2726" priority="6029"/>
    <cfRule type="duplicateValues" dxfId="2725" priority="6030"/>
    <cfRule type="duplicateValues" dxfId="2724" priority="6031"/>
    <cfRule type="duplicateValues" dxfId="2723" priority="6032"/>
    <cfRule type="duplicateValues" dxfId="2722" priority="6033"/>
    <cfRule type="duplicateValues" dxfId="2721" priority="6034"/>
    <cfRule type="duplicateValues" dxfId="2720" priority="6035"/>
    <cfRule type="duplicateValues" dxfId="2719" priority="6036"/>
  </conditionalFormatting>
  <conditionalFormatting sqref="C38:C47">
    <cfRule type="duplicateValues" dxfId="2718" priority="2853"/>
    <cfRule type="duplicateValues" dxfId="2717" priority="2854"/>
    <cfRule type="duplicateValues" dxfId="2716" priority="6014"/>
    <cfRule type="duplicateValues" dxfId="2715" priority="6015"/>
    <cfRule type="duplicateValues" dxfId="2714" priority="6016"/>
    <cfRule type="duplicateValues" dxfId="2713" priority="6017"/>
    <cfRule type="duplicateValues" dxfId="2712" priority="6018"/>
    <cfRule type="duplicateValues" dxfId="2711" priority="6019"/>
    <cfRule type="duplicateValues" dxfId="2710" priority="6020"/>
    <cfRule type="duplicateValues" dxfId="2709" priority="6021"/>
    <cfRule type="duplicateValues" dxfId="2708" priority="6022"/>
    <cfRule type="duplicateValues" dxfId="2707" priority="6023"/>
  </conditionalFormatting>
  <conditionalFormatting sqref="C48:C59">
    <cfRule type="duplicateValues" dxfId="2706" priority="2837"/>
    <cfRule type="duplicateValues" dxfId="2705" priority="2838"/>
    <cfRule type="duplicateValues" dxfId="2704" priority="2839"/>
    <cfRule type="duplicateValues" dxfId="2703" priority="2840"/>
    <cfRule type="duplicateValues" dxfId="2702" priority="2841"/>
    <cfRule type="duplicateValues" dxfId="2701" priority="2842"/>
    <cfRule type="duplicateValues" dxfId="2700" priority="2843"/>
    <cfRule type="duplicateValues" dxfId="2699" priority="2844"/>
    <cfRule type="duplicateValues" dxfId="2698" priority="2845"/>
    <cfRule type="duplicateValues" dxfId="2697" priority="2846"/>
    <cfRule type="duplicateValues" dxfId="2696" priority="2847"/>
    <cfRule type="duplicateValues" dxfId="2695" priority="2848"/>
  </conditionalFormatting>
  <conditionalFormatting sqref="C60:C64">
    <cfRule type="duplicateValues" dxfId="2694" priority="5986"/>
    <cfRule type="duplicateValues" dxfId="2693" priority="5987"/>
    <cfRule type="duplicateValues" dxfId="2692" priority="6003"/>
    <cfRule type="duplicateValues" dxfId="2691" priority="6004"/>
    <cfRule type="duplicateValues" dxfId="2690" priority="6005"/>
    <cfRule type="duplicateValues" dxfId="2689" priority="6006"/>
    <cfRule type="duplicateValues" dxfId="2688" priority="6007"/>
    <cfRule type="duplicateValues" dxfId="2687" priority="6008"/>
    <cfRule type="duplicateValues" dxfId="2686" priority="6009"/>
    <cfRule type="duplicateValues" dxfId="2685" priority="6010"/>
    <cfRule type="duplicateValues" dxfId="2684" priority="6011"/>
    <cfRule type="duplicateValues" dxfId="2683" priority="6012"/>
  </conditionalFormatting>
  <conditionalFormatting sqref="C65:C80">
    <cfRule type="duplicateValues" dxfId="2682" priority="5990"/>
    <cfRule type="duplicateValues" dxfId="2681" priority="5991"/>
    <cfRule type="duplicateValues" dxfId="2680" priority="5992"/>
    <cfRule type="duplicateValues" dxfId="2679" priority="5993"/>
    <cfRule type="duplicateValues" dxfId="2678" priority="5994"/>
    <cfRule type="duplicateValues" dxfId="2677" priority="5995"/>
    <cfRule type="duplicateValues" dxfId="2676" priority="5996"/>
    <cfRule type="duplicateValues" dxfId="2675" priority="5997"/>
    <cfRule type="duplicateValues" dxfId="2674" priority="5998"/>
    <cfRule type="duplicateValues" dxfId="2673" priority="5999"/>
    <cfRule type="duplicateValues" dxfId="2672" priority="6000"/>
    <cfRule type="duplicateValues" dxfId="2671" priority="6001"/>
  </conditionalFormatting>
  <conditionalFormatting sqref="C81:C86">
    <cfRule type="duplicateValues" dxfId="2670" priority="2800"/>
    <cfRule type="duplicateValues" dxfId="2669" priority="2801"/>
    <cfRule type="duplicateValues" dxfId="2668" priority="5965"/>
    <cfRule type="duplicateValues" dxfId="2667" priority="5966"/>
    <cfRule type="duplicateValues" dxfId="2666" priority="5967"/>
    <cfRule type="duplicateValues" dxfId="2665" priority="5968"/>
    <cfRule type="duplicateValues" dxfId="2664" priority="5969"/>
    <cfRule type="duplicateValues" dxfId="2663" priority="5970"/>
    <cfRule type="duplicateValues" dxfId="2662" priority="5971"/>
    <cfRule type="duplicateValues" dxfId="2661" priority="5972"/>
    <cfRule type="duplicateValues" dxfId="2660" priority="5973"/>
    <cfRule type="duplicateValues" dxfId="2659" priority="5974"/>
  </conditionalFormatting>
  <conditionalFormatting sqref="C87:C91">
    <cfRule type="duplicateValues" dxfId="2658" priority="2786"/>
    <cfRule type="duplicateValues" dxfId="2657" priority="2787"/>
    <cfRule type="duplicateValues" dxfId="2656" priority="5954"/>
    <cfRule type="duplicateValues" dxfId="2655" priority="5955"/>
    <cfRule type="duplicateValues" dxfId="2654" priority="5956"/>
    <cfRule type="duplicateValues" dxfId="2653" priority="5957"/>
    <cfRule type="duplicateValues" dxfId="2652" priority="5958"/>
    <cfRule type="duplicateValues" dxfId="2651" priority="5959"/>
    <cfRule type="duplicateValues" dxfId="2650" priority="5960"/>
    <cfRule type="duplicateValues" dxfId="2649" priority="5961"/>
    <cfRule type="duplicateValues" dxfId="2648" priority="5962"/>
    <cfRule type="duplicateValues" dxfId="2647" priority="5963"/>
  </conditionalFormatting>
  <conditionalFormatting sqref="C92:C97">
    <cfRule type="duplicateValues" dxfId="2646" priority="2770"/>
    <cfRule type="duplicateValues" dxfId="2645" priority="2771"/>
    <cfRule type="duplicateValues" dxfId="2644" priority="2772"/>
    <cfRule type="duplicateValues" dxfId="2643" priority="2773"/>
    <cfRule type="duplicateValues" dxfId="2642" priority="2774"/>
    <cfRule type="duplicateValues" dxfId="2641" priority="2775"/>
    <cfRule type="duplicateValues" dxfId="2640" priority="2776"/>
    <cfRule type="duplicateValues" dxfId="2639" priority="2777"/>
    <cfRule type="duplicateValues" dxfId="2638" priority="2778"/>
    <cfRule type="duplicateValues" dxfId="2637" priority="2779"/>
    <cfRule type="duplicateValues" dxfId="2636" priority="2780"/>
    <cfRule type="duplicateValues" dxfId="2635" priority="2781"/>
  </conditionalFormatting>
  <conditionalFormatting sqref="C98:C104">
    <cfRule type="duplicateValues" dxfId="2634" priority="5941"/>
    <cfRule type="duplicateValues" dxfId="2633" priority="5942"/>
    <cfRule type="duplicateValues" dxfId="2632" priority="5943"/>
    <cfRule type="duplicateValues" dxfId="2631" priority="5944"/>
    <cfRule type="duplicateValues" dxfId="2630" priority="5945"/>
    <cfRule type="duplicateValues" dxfId="2629" priority="5946"/>
    <cfRule type="duplicateValues" dxfId="2628" priority="5947"/>
    <cfRule type="duplicateValues" dxfId="2627" priority="5948"/>
    <cfRule type="duplicateValues" dxfId="2626" priority="5949"/>
    <cfRule type="duplicateValues" dxfId="2625" priority="5950"/>
    <cfRule type="duplicateValues" dxfId="2624" priority="5951"/>
    <cfRule type="duplicateValues" dxfId="2623" priority="5952"/>
  </conditionalFormatting>
  <conditionalFormatting sqref="C105:C106">
    <cfRule type="duplicateValues" dxfId="2622" priority="2744"/>
    <cfRule type="duplicateValues" dxfId="2621" priority="2745"/>
    <cfRule type="duplicateValues" dxfId="2620" priority="5930"/>
    <cfRule type="duplicateValues" dxfId="2619" priority="5931"/>
    <cfRule type="duplicateValues" dxfId="2618" priority="5932"/>
    <cfRule type="duplicateValues" dxfId="2617" priority="5933"/>
    <cfRule type="duplicateValues" dxfId="2616" priority="5934"/>
    <cfRule type="duplicateValues" dxfId="2615" priority="5935"/>
    <cfRule type="duplicateValues" dxfId="2614" priority="5936"/>
    <cfRule type="duplicateValues" dxfId="2613" priority="5937"/>
    <cfRule type="duplicateValues" dxfId="2612" priority="5938"/>
    <cfRule type="duplicateValues" dxfId="2611" priority="5939"/>
  </conditionalFormatting>
  <conditionalFormatting sqref="C107:C110">
    <cfRule type="duplicateValues" dxfId="2610" priority="2730"/>
    <cfRule type="duplicateValues" dxfId="2609" priority="2731"/>
    <cfRule type="duplicateValues" dxfId="2608" priority="2732"/>
    <cfRule type="duplicateValues" dxfId="2607" priority="2733"/>
    <cfRule type="duplicateValues" dxfId="2606" priority="2734"/>
    <cfRule type="duplicateValues" dxfId="2605" priority="2735"/>
    <cfRule type="duplicateValues" dxfId="2604" priority="2736"/>
    <cfRule type="duplicateValues" dxfId="2603" priority="2737"/>
    <cfRule type="duplicateValues" dxfId="2602" priority="2738"/>
    <cfRule type="duplicateValues" dxfId="2601" priority="2739"/>
    <cfRule type="duplicateValues" dxfId="2600" priority="2740"/>
    <cfRule type="duplicateValues" dxfId="2599" priority="2741"/>
    <cfRule type="duplicateValues" dxfId="2598" priority="2742"/>
  </conditionalFormatting>
  <conditionalFormatting sqref="C111">
    <cfRule type="duplicateValues" dxfId="2597" priority="2716"/>
    <cfRule type="duplicateValues" dxfId="2596" priority="2717"/>
    <cfRule type="duplicateValues" dxfId="2595" priority="2718"/>
    <cfRule type="duplicateValues" dxfId="2594" priority="2719"/>
    <cfRule type="duplicateValues" dxfId="2593" priority="2720"/>
    <cfRule type="duplicateValues" dxfId="2592" priority="2721"/>
    <cfRule type="duplicateValues" dxfId="2591" priority="2722"/>
    <cfRule type="duplicateValues" dxfId="2590" priority="2723"/>
    <cfRule type="duplicateValues" dxfId="2589" priority="2724"/>
    <cfRule type="duplicateValues" dxfId="2588" priority="2725"/>
    <cfRule type="duplicateValues" dxfId="2587" priority="2726"/>
    <cfRule type="duplicateValues" dxfId="2586" priority="2727"/>
    <cfRule type="duplicateValues" dxfId="2585" priority="2728"/>
  </conditionalFormatting>
  <conditionalFormatting sqref="C112:C113">
    <cfRule type="duplicateValues" dxfId="2584" priority="2703"/>
    <cfRule type="duplicateValues" dxfId="2583" priority="2704"/>
    <cfRule type="duplicateValues" dxfId="2582" priority="2705"/>
    <cfRule type="duplicateValues" dxfId="2581" priority="2706"/>
    <cfRule type="duplicateValues" dxfId="2580" priority="2707"/>
    <cfRule type="duplicateValues" dxfId="2579" priority="2708"/>
    <cfRule type="duplicateValues" dxfId="2578" priority="2709"/>
    <cfRule type="duplicateValues" dxfId="2577" priority="2710"/>
    <cfRule type="duplicateValues" dxfId="2576" priority="2711"/>
    <cfRule type="duplicateValues" dxfId="2575" priority="2712"/>
    <cfRule type="duplicateValues" dxfId="2574" priority="2713"/>
    <cfRule type="duplicateValues" dxfId="2573" priority="2714"/>
    <cfRule type="duplicateValues" dxfId="2572" priority="2715"/>
  </conditionalFormatting>
  <conditionalFormatting sqref="C114">
    <cfRule type="duplicateValues" dxfId="2571" priority="2690"/>
    <cfRule type="duplicateValues" dxfId="2570" priority="2691"/>
    <cfRule type="duplicateValues" dxfId="2569" priority="2692"/>
    <cfRule type="duplicateValues" dxfId="2568" priority="2693"/>
    <cfRule type="duplicateValues" dxfId="2567" priority="2694"/>
    <cfRule type="duplicateValues" dxfId="2566" priority="2695"/>
    <cfRule type="duplicateValues" dxfId="2565" priority="2696"/>
    <cfRule type="duplicateValues" dxfId="2564" priority="2697"/>
    <cfRule type="duplicateValues" dxfId="2563" priority="2698"/>
    <cfRule type="duplicateValues" dxfId="2562" priority="2699"/>
    <cfRule type="duplicateValues" dxfId="2561" priority="2700"/>
    <cfRule type="duplicateValues" dxfId="2560" priority="2701"/>
    <cfRule type="duplicateValues" dxfId="2559" priority="2702"/>
  </conditionalFormatting>
  <conditionalFormatting sqref="C115:C120">
    <cfRule type="duplicateValues" dxfId="2558" priority="2676"/>
    <cfRule type="duplicateValues" dxfId="2557" priority="2677"/>
    <cfRule type="duplicateValues" dxfId="2556" priority="2678"/>
    <cfRule type="duplicateValues" dxfId="2555" priority="2679"/>
    <cfRule type="duplicateValues" dxfId="2554" priority="2680"/>
    <cfRule type="duplicateValues" dxfId="2553" priority="2681"/>
    <cfRule type="duplicateValues" dxfId="2552" priority="2682"/>
    <cfRule type="duplicateValues" dxfId="2551" priority="2683"/>
    <cfRule type="duplicateValues" dxfId="2550" priority="2684"/>
    <cfRule type="duplicateValues" dxfId="2549" priority="2685"/>
    <cfRule type="duplicateValues" dxfId="2548" priority="2686"/>
    <cfRule type="duplicateValues" dxfId="2547" priority="2687"/>
    <cfRule type="duplicateValues" dxfId="2546" priority="2688"/>
    <cfRule type="duplicateValues" dxfId="2545" priority="2689"/>
  </conditionalFormatting>
  <conditionalFormatting sqref="C121:C127">
    <cfRule type="duplicateValues" dxfId="2544" priority="2660"/>
    <cfRule type="duplicateValues" dxfId="2543" priority="2661"/>
    <cfRule type="duplicateValues" dxfId="2542" priority="2662"/>
    <cfRule type="duplicateValues" dxfId="2541" priority="2663"/>
    <cfRule type="duplicateValues" dxfId="2540" priority="2664"/>
    <cfRule type="duplicateValues" dxfId="2539" priority="2665"/>
    <cfRule type="duplicateValues" dxfId="2538" priority="2666"/>
    <cfRule type="duplicateValues" dxfId="2537" priority="2667"/>
    <cfRule type="duplicateValues" dxfId="2536" priority="2668"/>
    <cfRule type="duplicateValues" dxfId="2535" priority="2669"/>
    <cfRule type="duplicateValues" dxfId="2534" priority="2670"/>
    <cfRule type="duplicateValues" dxfId="2533" priority="2671"/>
    <cfRule type="duplicateValues" dxfId="2532" priority="2672"/>
    <cfRule type="duplicateValues" dxfId="2531" priority="2673"/>
    <cfRule type="duplicateValues" dxfId="2530" priority="2674"/>
    <cfRule type="duplicateValues" dxfId="2529" priority="2675"/>
  </conditionalFormatting>
  <conditionalFormatting sqref="C128:C135">
    <cfRule type="duplicateValues" dxfId="2528" priority="2645"/>
    <cfRule type="duplicateValues" dxfId="2527" priority="2646"/>
    <cfRule type="duplicateValues" dxfId="2526" priority="2647"/>
    <cfRule type="duplicateValues" dxfId="2525" priority="2648"/>
    <cfRule type="duplicateValues" dxfId="2524" priority="2649"/>
    <cfRule type="duplicateValues" dxfId="2523" priority="2650"/>
    <cfRule type="duplicateValues" dxfId="2522" priority="2651"/>
    <cfRule type="duplicateValues" dxfId="2521" priority="2652"/>
    <cfRule type="duplicateValues" dxfId="2520" priority="2653"/>
    <cfRule type="duplicateValues" dxfId="2519" priority="2654"/>
    <cfRule type="duplicateValues" dxfId="2518" priority="2655"/>
    <cfRule type="duplicateValues" dxfId="2517" priority="2656"/>
    <cfRule type="duplicateValues" dxfId="2516" priority="2657"/>
    <cfRule type="duplicateValues" dxfId="2515" priority="2658"/>
    <cfRule type="duplicateValues" dxfId="2514" priority="2659"/>
  </conditionalFormatting>
  <conditionalFormatting sqref="C136:C146">
    <cfRule type="duplicateValues" dxfId="2513" priority="2630"/>
    <cfRule type="duplicateValues" dxfId="2512" priority="2631"/>
    <cfRule type="duplicateValues" dxfId="2511" priority="2632"/>
    <cfRule type="duplicateValues" dxfId="2510" priority="2633"/>
    <cfRule type="duplicateValues" dxfId="2509" priority="2634"/>
    <cfRule type="duplicateValues" dxfId="2508" priority="2635"/>
    <cfRule type="duplicateValues" dxfId="2507" priority="2636"/>
    <cfRule type="duplicateValues" dxfId="2506" priority="2637"/>
    <cfRule type="duplicateValues" dxfId="2505" priority="2638"/>
    <cfRule type="duplicateValues" dxfId="2504" priority="2639"/>
    <cfRule type="duplicateValues" dxfId="2503" priority="2640"/>
    <cfRule type="duplicateValues" dxfId="2502" priority="2641"/>
    <cfRule type="duplicateValues" dxfId="2501" priority="2642"/>
    <cfRule type="duplicateValues" dxfId="2500" priority="2643"/>
    <cfRule type="duplicateValues" dxfId="2499" priority="2644"/>
  </conditionalFormatting>
  <conditionalFormatting sqref="C147:C155">
    <cfRule type="duplicateValues" dxfId="2498" priority="2614"/>
    <cfRule type="duplicateValues" dxfId="2497" priority="2615"/>
    <cfRule type="duplicateValues" dxfId="2496" priority="2616"/>
    <cfRule type="duplicateValues" dxfId="2495" priority="2617"/>
    <cfRule type="duplicateValues" dxfId="2494" priority="2618"/>
    <cfRule type="duplicateValues" dxfId="2493" priority="2619"/>
    <cfRule type="duplicateValues" dxfId="2492" priority="2620"/>
    <cfRule type="duplicateValues" dxfId="2491" priority="2621"/>
    <cfRule type="duplicateValues" dxfId="2490" priority="2622"/>
    <cfRule type="duplicateValues" dxfId="2489" priority="2623"/>
    <cfRule type="duplicateValues" dxfId="2488" priority="2624"/>
    <cfRule type="duplicateValues" dxfId="2487" priority="2625"/>
    <cfRule type="duplicateValues" dxfId="2486" priority="2626"/>
    <cfRule type="duplicateValues" dxfId="2485" priority="2627"/>
    <cfRule type="duplicateValues" dxfId="2484" priority="2628"/>
    <cfRule type="duplicateValues" dxfId="2483" priority="2629"/>
  </conditionalFormatting>
  <conditionalFormatting sqref="C156:C166">
    <cfRule type="duplicateValues" dxfId="2482" priority="2598"/>
    <cfRule type="duplicateValues" dxfId="2481" priority="2599"/>
    <cfRule type="duplicateValues" dxfId="2480" priority="2600"/>
    <cfRule type="duplicateValues" dxfId="2479" priority="2601"/>
    <cfRule type="duplicateValues" dxfId="2478" priority="2602"/>
    <cfRule type="duplicateValues" dxfId="2477" priority="2603"/>
    <cfRule type="duplicateValues" dxfId="2476" priority="2604"/>
    <cfRule type="duplicateValues" dxfId="2475" priority="2605"/>
    <cfRule type="duplicateValues" dxfId="2474" priority="2606"/>
    <cfRule type="duplicateValues" dxfId="2473" priority="2607"/>
    <cfRule type="duplicateValues" dxfId="2472" priority="2608"/>
    <cfRule type="duplicateValues" dxfId="2471" priority="2609"/>
    <cfRule type="duplicateValues" dxfId="2470" priority="2610"/>
    <cfRule type="duplicateValues" dxfId="2469" priority="2611"/>
    <cfRule type="duplicateValues" dxfId="2468" priority="2612"/>
    <cfRule type="duplicateValues" dxfId="2467" priority="2613"/>
  </conditionalFormatting>
  <conditionalFormatting sqref="C167:C179">
    <cfRule type="duplicateValues" dxfId="2466" priority="2582"/>
    <cfRule type="duplicateValues" dxfId="2465" priority="2583"/>
    <cfRule type="duplicateValues" dxfId="2464" priority="2584"/>
    <cfRule type="duplicateValues" dxfId="2463" priority="2585"/>
    <cfRule type="duplicateValues" dxfId="2462" priority="2586"/>
    <cfRule type="duplicateValues" dxfId="2461" priority="2587"/>
    <cfRule type="duplicateValues" dxfId="2460" priority="2588"/>
    <cfRule type="duplicateValues" dxfId="2459" priority="2589"/>
    <cfRule type="duplicateValues" dxfId="2458" priority="2590"/>
    <cfRule type="duplicateValues" dxfId="2457" priority="2591"/>
    <cfRule type="duplicateValues" dxfId="2456" priority="2592"/>
    <cfRule type="duplicateValues" dxfId="2455" priority="2593"/>
    <cfRule type="duplicateValues" dxfId="2454" priority="2594"/>
    <cfRule type="duplicateValues" dxfId="2453" priority="2595"/>
    <cfRule type="duplicateValues" dxfId="2452" priority="2596"/>
    <cfRule type="duplicateValues" dxfId="2451" priority="2597"/>
  </conditionalFormatting>
  <conditionalFormatting sqref="C180:C193">
    <cfRule type="duplicateValues" dxfId="2450" priority="7638"/>
    <cfRule type="duplicateValues" dxfId="2449" priority="7639"/>
    <cfRule type="duplicateValues" dxfId="2448" priority="7640"/>
    <cfRule type="duplicateValues" dxfId="2447" priority="7641"/>
    <cfRule type="duplicateValues" dxfId="2446" priority="7642"/>
    <cfRule type="duplicateValues" dxfId="2445" priority="7643"/>
    <cfRule type="duplicateValues" dxfId="2444" priority="7644"/>
    <cfRule type="duplicateValues" dxfId="2443" priority="7645"/>
    <cfRule type="duplicateValues" dxfId="2442" priority="7646"/>
    <cfRule type="duplicateValues" dxfId="2441" priority="7647"/>
    <cfRule type="duplicateValues" dxfId="2440" priority="7648"/>
    <cfRule type="duplicateValues" dxfId="2439" priority="7649"/>
    <cfRule type="duplicateValues" dxfId="2438" priority="7650"/>
    <cfRule type="duplicateValues" dxfId="2437" priority="7651"/>
    <cfRule type="duplicateValues" dxfId="2436" priority="7652"/>
    <cfRule type="duplicateValues" dxfId="2435" priority="7653"/>
  </conditionalFormatting>
  <conditionalFormatting sqref="C194:C195">
    <cfRule type="duplicateValues" dxfId="2434" priority="2550"/>
    <cfRule type="duplicateValues" dxfId="2433" priority="2551"/>
    <cfRule type="duplicateValues" dxfId="2432" priority="2552"/>
    <cfRule type="duplicateValues" dxfId="2431" priority="2553"/>
    <cfRule type="duplicateValues" dxfId="2430" priority="2554"/>
    <cfRule type="duplicateValues" dxfId="2429" priority="2555"/>
    <cfRule type="duplicateValues" dxfId="2428" priority="2556"/>
    <cfRule type="duplicateValues" dxfId="2427" priority="2557"/>
    <cfRule type="duplicateValues" dxfId="2426" priority="2558"/>
    <cfRule type="duplicateValues" dxfId="2425" priority="2559"/>
    <cfRule type="duplicateValues" dxfId="2424" priority="2560"/>
    <cfRule type="duplicateValues" dxfId="2423" priority="2561"/>
    <cfRule type="duplicateValues" dxfId="2422" priority="2562"/>
    <cfRule type="duplicateValues" dxfId="2421" priority="2563"/>
    <cfRule type="duplicateValues" dxfId="2420" priority="2564"/>
    <cfRule type="duplicateValues" dxfId="2419" priority="2565"/>
  </conditionalFormatting>
  <conditionalFormatting sqref="C196:C200">
    <cfRule type="duplicateValues" dxfId="2418" priority="2534"/>
    <cfRule type="duplicateValues" dxfId="2417" priority="2535"/>
    <cfRule type="duplicateValues" dxfId="2416" priority="2536"/>
    <cfRule type="duplicateValues" dxfId="2415" priority="2537"/>
    <cfRule type="duplicateValues" dxfId="2414" priority="2538"/>
    <cfRule type="duplicateValues" dxfId="2413" priority="2539"/>
    <cfRule type="duplicateValues" dxfId="2412" priority="2540"/>
    <cfRule type="duplicateValues" dxfId="2411" priority="2541"/>
    <cfRule type="duplicateValues" dxfId="2410" priority="2542"/>
    <cfRule type="duplicateValues" dxfId="2409" priority="2543"/>
    <cfRule type="duplicateValues" dxfId="2408" priority="2544"/>
    <cfRule type="duplicateValues" dxfId="2407" priority="2545"/>
    <cfRule type="duplicateValues" dxfId="2406" priority="2546"/>
    <cfRule type="duplicateValues" dxfId="2405" priority="2547"/>
    <cfRule type="duplicateValues" dxfId="2404" priority="2548"/>
    <cfRule type="duplicateValues" dxfId="2403" priority="2549"/>
  </conditionalFormatting>
  <conditionalFormatting sqref="C201">
    <cfRule type="duplicateValues" dxfId="2402" priority="2518"/>
    <cfRule type="duplicateValues" dxfId="2401" priority="2519"/>
    <cfRule type="duplicateValues" dxfId="2400" priority="2520"/>
    <cfRule type="duplicateValues" dxfId="2399" priority="2521"/>
    <cfRule type="duplicateValues" dxfId="2398" priority="2522"/>
    <cfRule type="duplicateValues" dxfId="2397" priority="2523"/>
    <cfRule type="duplicateValues" dxfId="2396" priority="2524"/>
    <cfRule type="duplicateValues" dxfId="2395" priority="2525"/>
    <cfRule type="duplicateValues" dxfId="2394" priority="2526"/>
    <cfRule type="duplicateValues" dxfId="2393" priority="2527"/>
    <cfRule type="duplicateValues" dxfId="2392" priority="2528"/>
    <cfRule type="duplicateValues" dxfId="2391" priority="2529"/>
    <cfRule type="duplicateValues" dxfId="2390" priority="2530"/>
    <cfRule type="duplicateValues" dxfId="2389" priority="2531"/>
    <cfRule type="duplicateValues" dxfId="2388" priority="2532"/>
    <cfRule type="duplicateValues" dxfId="2387" priority="2533"/>
  </conditionalFormatting>
  <conditionalFormatting sqref="C202">
    <cfRule type="duplicateValues" dxfId="2386" priority="2502"/>
    <cfRule type="duplicateValues" dxfId="2385" priority="2503"/>
    <cfRule type="duplicateValues" dxfId="2384" priority="2504"/>
    <cfRule type="duplicateValues" dxfId="2383" priority="2505"/>
    <cfRule type="duplicateValues" dxfId="2382" priority="2506"/>
    <cfRule type="duplicateValues" dxfId="2381" priority="2507"/>
    <cfRule type="duplicateValues" dxfId="2380" priority="2508"/>
    <cfRule type="duplicateValues" dxfId="2379" priority="2509"/>
    <cfRule type="duplicateValues" dxfId="2378" priority="2510"/>
    <cfRule type="duplicateValues" dxfId="2377" priority="2511"/>
    <cfRule type="duplicateValues" dxfId="2376" priority="2512"/>
    <cfRule type="duplicateValues" dxfId="2375" priority="2513"/>
    <cfRule type="duplicateValues" dxfId="2374" priority="2514"/>
    <cfRule type="duplicateValues" dxfId="2373" priority="2515"/>
    <cfRule type="duplicateValues" dxfId="2372" priority="2516"/>
    <cfRule type="duplicateValues" dxfId="2371" priority="2517"/>
  </conditionalFormatting>
  <conditionalFormatting sqref="C203:C204">
    <cfRule type="duplicateValues" dxfId="2370" priority="2486"/>
    <cfRule type="duplicateValues" dxfId="2369" priority="2487"/>
    <cfRule type="duplicateValues" dxfId="2368" priority="2488"/>
    <cfRule type="duplicateValues" dxfId="2367" priority="2489"/>
    <cfRule type="duplicateValues" dxfId="2366" priority="2490"/>
    <cfRule type="duplicateValues" dxfId="2365" priority="2491"/>
    <cfRule type="duplicateValues" dxfId="2364" priority="2492"/>
    <cfRule type="duplicateValues" dxfId="2363" priority="2493"/>
    <cfRule type="duplicateValues" dxfId="2362" priority="2494"/>
    <cfRule type="duplicateValues" dxfId="2361" priority="2495"/>
    <cfRule type="duplicateValues" dxfId="2360" priority="2496"/>
    <cfRule type="duplicateValues" dxfId="2359" priority="2497"/>
    <cfRule type="duplicateValues" dxfId="2358" priority="2498"/>
    <cfRule type="duplicateValues" dxfId="2357" priority="2499"/>
    <cfRule type="duplicateValues" dxfId="2356" priority="2500"/>
    <cfRule type="duplicateValues" dxfId="2355" priority="2501"/>
  </conditionalFormatting>
  <conditionalFormatting sqref="C205">
    <cfRule type="duplicateValues" dxfId="2354" priority="2470"/>
    <cfRule type="duplicateValues" dxfId="2353" priority="2471"/>
    <cfRule type="duplicateValues" dxfId="2352" priority="2472"/>
    <cfRule type="duplicateValues" dxfId="2351" priority="2473"/>
    <cfRule type="duplicateValues" dxfId="2350" priority="2474"/>
    <cfRule type="duplicateValues" dxfId="2349" priority="2475"/>
    <cfRule type="duplicateValues" dxfId="2348" priority="2476"/>
    <cfRule type="duplicateValues" dxfId="2347" priority="2477"/>
    <cfRule type="duplicateValues" dxfId="2346" priority="2478"/>
    <cfRule type="duplicateValues" dxfId="2345" priority="2479"/>
    <cfRule type="duplicateValues" dxfId="2344" priority="2480"/>
    <cfRule type="duplicateValues" dxfId="2343" priority="2481"/>
    <cfRule type="duplicateValues" dxfId="2342" priority="2482"/>
    <cfRule type="duplicateValues" dxfId="2341" priority="2483"/>
    <cfRule type="duplicateValues" dxfId="2340" priority="2484"/>
    <cfRule type="duplicateValues" dxfId="2339" priority="2485"/>
  </conditionalFormatting>
  <conditionalFormatting sqref="C206">
    <cfRule type="duplicateValues" dxfId="2338" priority="2454"/>
    <cfRule type="duplicateValues" dxfId="2337" priority="2455"/>
    <cfRule type="duplicateValues" dxfId="2336" priority="2456"/>
    <cfRule type="duplicateValues" dxfId="2335" priority="2457"/>
    <cfRule type="duplicateValues" dxfId="2334" priority="2458"/>
    <cfRule type="duplicateValues" dxfId="2333" priority="2459"/>
    <cfRule type="duplicateValues" dxfId="2332" priority="2460"/>
    <cfRule type="duplicateValues" dxfId="2331" priority="2461"/>
    <cfRule type="duplicateValues" dxfId="2330" priority="2462"/>
    <cfRule type="duplicateValues" dxfId="2329" priority="2463"/>
    <cfRule type="duplicateValues" dxfId="2328" priority="2464"/>
    <cfRule type="duplicateValues" dxfId="2327" priority="2465"/>
    <cfRule type="duplicateValues" dxfId="2326" priority="2466"/>
    <cfRule type="duplicateValues" dxfId="2325" priority="2467"/>
    <cfRule type="duplicateValues" dxfId="2324" priority="2468"/>
    <cfRule type="duplicateValues" dxfId="2323" priority="2469"/>
  </conditionalFormatting>
  <conditionalFormatting sqref="C207:C208">
    <cfRule type="duplicateValues" dxfId="2322" priority="2438"/>
    <cfRule type="duplicateValues" dxfId="2321" priority="2439"/>
    <cfRule type="duplicateValues" dxfId="2320" priority="2440"/>
    <cfRule type="duplicateValues" dxfId="2319" priority="2441"/>
    <cfRule type="duplicateValues" dxfId="2318" priority="2442"/>
    <cfRule type="duplicateValues" dxfId="2317" priority="2443"/>
    <cfRule type="duplicateValues" dxfId="2316" priority="2444"/>
    <cfRule type="duplicateValues" dxfId="2315" priority="2445"/>
    <cfRule type="duplicateValues" dxfId="2314" priority="2446"/>
    <cfRule type="duplicateValues" dxfId="2313" priority="2447"/>
    <cfRule type="duplicateValues" dxfId="2312" priority="2448"/>
    <cfRule type="duplicateValues" dxfId="2311" priority="2449"/>
    <cfRule type="duplicateValues" dxfId="2310" priority="2450"/>
    <cfRule type="duplicateValues" dxfId="2309" priority="2451"/>
    <cfRule type="duplicateValues" dxfId="2308" priority="2452"/>
    <cfRule type="duplicateValues" dxfId="2307" priority="2453"/>
  </conditionalFormatting>
  <conditionalFormatting sqref="C209:C210">
    <cfRule type="duplicateValues" dxfId="2306" priority="2422"/>
    <cfRule type="duplicateValues" dxfId="2305" priority="2423"/>
    <cfRule type="duplicateValues" dxfId="2304" priority="2424"/>
    <cfRule type="duplicateValues" dxfId="2303" priority="2425"/>
    <cfRule type="duplicateValues" dxfId="2302" priority="2426"/>
    <cfRule type="duplicateValues" dxfId="2301" priority="2427"/>
    <cfRule type="duplicateValues" dxfId="2300" priority="2428"/>
    <cfRule type="duplicateValues" dxfId="2299" priority="2429"/>
    <cfRule type="duplicateValues" dxfId="2298" priority="2430"/>
    <cfRule type="duplicateValues" dxfId="2297" priority="2431"/>
    <cfRule type="duplicateValues" dxfId="2296" priority="2432"/>
    <cfRule type="duplicateValues" dxfId="2295" priority="2433"/>
    <cfRule type="duplicateValues" dxfId="2294" priority="2434"/>
    <cfRule type="duplicateValues" dxfId="2293" priority="2435"/>
    <cfRule type="duplicateValues" dxfId="2292" priority="2436"/>
    <cfRule type="duplicateValues" dxfId="2291" priority="2437"/>
  </conditionalFormatting>
  <conditionalFormatting sqref="C211:C212">
    <cfRule type="duplicateValues" dxfId="2290" priority="2406"/>
    <cfRule type="duplicateValues" dxfId="2289" priority="2407"/>
    <cfRule type="duplicateValues" dxfId="2288" priority="2408"/>
    <cfRule type="duplicateValues" dxfId="2287" priority="2409"/>
    <cfRule type="duplicateValues" dxfId="2286" priority="2410"/>
    <cfRule type="duplicateValues" dxfId="2285" priority="2411"/>
    <cfRule type="duplicateValues" dxfId="2284" priority="2412"/>
    <cfRule type="duplicateValues" dxfId="2283" priority="2413"/>
    <cfRule type="duplicateValues" dxfId="2282" priority="2414"/>
    <cfRule type="duplicateValues" dxfId="2281" priority="2415"/>
    <cfRule type="duplicateValues" dxfId="2280" priority="2416"/>
    <cfRule type="duplicateValues" dxfId="2279" priority="2417"/>
    <cfRule type="duplicateValues" dxfId="2278" priority="2418"/>
    <cfRule type="duplicateValues" dxfId="2277" priority="2419"/>
    <cfRule type="duplicateValues" dxfId="2276" priority="2420"/>
    <cfRule type="duplicateValues" dxfId="2275" priority="2421"/>
  </conditionalFormatting>
  <conditionalFormatting sqref="C213:C226">
    <cfRule type="duplicateValues" dxfId="2274" priority="2390"/>
    <cfRule type="duplicateValues" dxfId="2273" priority="2391"/>
    <cfRule type="duplicateValues" dxfId="2272" priority="2392"/>
    <cfRule type="duplicateValues" dxfId="2271" priority="2393"/>
    <cfRule type="duplicateValues" dxfId="2270" priority="2394"/>
    <cfRule type="duplicateValues" dxfId="2269" priority="2395"/>
    <cfRule type="duplicateValues" dxfId="2268" priority="2396"/>
    <cfRule type="duplicateValues" dxfId="2267" priority="2397"/>
    <cfRule type="duplicateValues" dxfId="2266" priority="2398"/>
    <cfRule type="duplicateValues" dxfId="2265" priority="2399"/>
    <cfRule type="duplicateValues" dxfId="2264" priority="2400"/>
    <cfRule type="duplicateValues" dxfId="2263" priority="2401"/>
    <cfRule type="duplicateValues" dxfId="2262" priority="2402"/>
    <cfRule type="duplicateValues" dxfId="2261" priority="2403"/>
    <cfRule type="duplicateValues" dxfId="2260" priority="2404"/>
    <cfRule type="duplicateValues" dxfId="2259" priority="2405"/>
  </conditionalFormatting>
  <conditionalFormatting sqref="C227:C235">
    <cfRule type="duplicateValues" dxfId="2258" priority="2374"/>
    <cfRule type="duplicateValues" dxfId="2257" priority="2375"/>
    <cfRule type="duplicateValues" dxfId="2256" priority="2376"/>
    <cfRule type="duplicateValues" dxfId="2255" priority="2377"/>
    <cfRule type="duplicateValues" dxfId="2254" priority="2378"/>
    <cfRule type="duplicateValues" dxfId="2253" priority="2379"/>
    <cfRule type="duplicateValues" dxfId="2252" priority="2380"/>
    <cfRule type="duplicateValues" dxfId="2251" priority="2381"/>
    <cfRule type="duplicateValues" dxfId="2250" priority="2382"/>
    <cfRule type="duplicateValues" dxfId="2249" priority="2383"/>
    <cfRule type="duplicateValues" dxfId="2248" priority="2384"/>
    <cfRule type="duplicateValues" dxfId="2247" priority="2385"/>
    <cfRule type="duplicateValues" dxfId="2246" priority="2386"/>
    <cfRule type="duplicateValues" dxfId="2245" priority="2387"/>
    <cfRule type="duplicateValues" dxfId="2244" priority="2388"/>
    <cfRule type="duplicateValues" dxfId="2243" priority="2389"/>
  </conditionalFormatting>
  <conditionalFormatting sqref="C236:C237">
    <cfRule type="duplicateValues" dxfId="2242" priority="2358"/>
    <cfRule type="duplicateValues" dxfId="2241" priority="2359"/>
    <cfRule type="duplicateValues" dxfId="2240" priority="2360"/>
    <cfRule type="duplicateValues" dxfId="2239" priority="2361"/>
    <cfRule type="duplicateValues" dxfId="2238" priority="2362"/>
    <cfRule type="duplicateValues" dxfId="2237" priority="2363"/>
    <cfRule type="duplicateValues" dxfId="2236" priority="2364"/>
    <cfRule type="duplicateValues" dxfId="2235" priority="2365"/>
    <cfRule type="duplicateValues" dxfId="2234" priority="2366"/>
    <cfRule type="duplicateValues" dxfId="2233" priority="2367"/>
    <cfRule type="duplicateValues" dxfId="2232" priority="2368"/>
    <cfRule type="duplicateValues" dxfId="2231" priority="2369"/>
    <cfRule type="duplicateValues" dxfId="2230" priority="2370"/>
    <cfRule type="duplicateValues" dxfId="2229" priority="2371"/>
    <cfRule type="duplicateValues" dxfId="2228" priority="2372"/>
    <cfRule type="duplicateValues" dxfId="2227" priority="2373"/>
  </conditionalFormatting>
  <conditionalFormatting sqref="C238:C241">
    <cfRule type="duplicateValues" dxfId="2226" priority="2342"/>
    <cfRule type="duplicateValues" dxfId="2225" priority="2343"/>
    <cfRule type="duplicateValues" dxfId="2224" priority="2344"/>
    <cfRule type="duplicateValues" dxfId="2223" priority="2345"/>
    <cfRule type="duplicateValues" dxfId="2222" priority="2346"/>
    <cfRule type="duplicateValues" dxfId="2221" priority="2347"/>
    <cfRule type="duplicateValues" dxfId="2220" priority="2348"/>
    <cfRule type="duplicateValues" dxfId="2219" priority="2349"/>
    <cfRule type="duplicateValues" dxfId="2218" priority="2350"/>
    <cfRule type="duplicateValues" dxfId="2217" priority="2351"/>
    <cfRule type="duplicateValues" dxfId="2216" priority="2352"/>
    <cfRule type="duplicateValues" dxfId="2215" priority="2353"/>
    <cfRule type="duplicateValues" dxfId="2214" priority="2354"/>
    <cfRule type="duplicateValues" dxfId="2213" priority="2355"/>
    <cfRule type="duplicateValues" dxfId="2212" priority="2356"/>
    <cfRule type="duplicateValues" dxfId="2211" priority="2357"/>
  </conditionalFormatting>
  <conditionalFormatting sqref="C242:C249">
    <cfRule type="duplicateValues" dxfId="2210" priority="2326"/>
    <cfRule type="duplicateValues" dxfId="2209" priority="2327"/>
    <cfRule type="duplicateValues" dxfId="2208" priority="2328"/>
    <cfRule type="duplicateValues" dxfId="2207" priority="2329"/>
    <cfRule type="duplicateValues" dxfId="2206" priority="2330"/>
    <cfRule type="duplicateValues" dxfId="2205" priority="2331"/>
    <cfRule type="duplicateValues" dxfId="2204" priority="2332"/>
    <cfRule type="duplicateValues" dxfId="2203" priority="2333"/>
    <cfRule type="duplicateValues" dxfId="2202" priority="2334"/>
    <cfRule type="duplicateValues" dxfId="2201" priority="2335"/>
    <cfRule type="duplicateValues" dxfId="2200" priority="2336"/>
    <cfRule type="duplicateValues" dxfId="2199" priority="2337"/>
    <cfRule type="duplicateValues" dxfId="2198" priority="2338"/>
    <cfRule type="duplicateValues" dxfId="2197" priority="2339"/>
    <cfRule type="duplicateValues" dxfId="2196" priority="2340"/>
    <cfRule type="duplicateValues" dxfId="2195" priority="2341"/>
  </conditionalFormatting>
  <conditionalFormatting sqref="C250">
    <cfRule type="duplicateValues" dxfId="2194" priority="2310"/>
    <cfRule type="duplicateValues" dxfId="2193" priority="2311"/>
    <cfRule type="duplicateValues" dxfId="2192" priority="2312"/>
    <cfRule type="duplicateValues" dxfId="2191" priority="2313"/>
    <cfRule type="duplicateValues" dxfId="2190" priority="2314"/>
    <cfRule type="duplicateValues" dxfId="2189" priority="2315"/>
    <cfRule type="duplicateValues" dxfId="2188" priority="2316"/>
    <cfRule type="duplicateValues" dxfId="2187" priority="2317"/>
    <cfRule type="duplicateValues" dxfId="2186" priority="2318"/>
    <cfRule type="duplicateValues" dxfId="2185" priority="2319"/>
    <cfRule type="duplicateValues" dxfId="2184" priority="2320"/>
    <cfRule type="duplicateValues" dxfId="2183" priority="2321"/>
    <cfRule type="duplicateValues" dxfId="2182" priority="2322"/>
    <cfRule type="duplicateValues" dxfId="2181" priority="2323"/>
    <cfRule type="duplicateValues" dxfId="2180" priority="2324"/>
    <cfRule type="duplicateValues" dxfId="2179" priority="2325"/>
  </conditionalFormatting>
  <conditionalFormatting sqref="C251:C255">
    <cfRule type="duplicateValues" dxfId="2178" priority="2294"/>
    <cfRule type="duplicateValues" dxfId="2177" priority="2295"/>
    <cfRule type="duplicateValues" dxfId="2176" priority="2296"/>
    <cfRule type="duplicateValues" dxfId="2175" priority="2297"/>
    <cfRule type="duplicateValues" dxfId="2174" priority="2298"/>
    <cfRule type="duplicateValues" dxfId="2173" priority="2299"/>
    <cfRule type="duplicateValues" dxfId="2172" priority="2300"/>
    <cfRule type="duplicateValues" dxfId="2171" priority="2301"/>
    <cfRule type="duplicateValues" dxfId="2170" priority="2302"/>
    <cfRule type="duplicateValues" dxfId="2169" priority="2303"/>
    <cfRule type="duplicateValues" dxfId="2168" priority="2304"/>
    <cfRule type="duplicateValues" dxfId="2167" priority="2305"/>
    <cfRule type="duplicateValues" dxfId="2166" priority="2306"/>
    <cfRule type="duplicateValues" dxfId="2165" priority="2307"/>
    <cfRule type="duplicateValues" dxfId="2164" priority="2308"/>
    <cfRule type="duplicateValues" dxfId="2163" priority="2309"/>
  </conditionalFormatting>
  <conditionalFormatting sqref="C256:C257">
    <cfRule type="duplicateValues" dxfId="2162" priority="2278"/>
    <cfRule type="duplicateValues" dxfId="2161" priority="2279"/>
    <cfRule type="duplicateValues" dxfId="2160" priority="2280"/>
    <cfRule type="duplicateValues" dxfId="2159" priority="2281"/>
    <cfRule type="duplicateValues" dxfId="2158" priority="2282"/>
    <cfRule type="duplicateValues" dxfId="2157" priority="2283"/>
    <cfRule type="duplicateValues" dxfId="2156" priority="2284"/>
    <cfRule type="duplicateValues" dxfId="2155" priority="2285"/>
    <cfRule type="duplicateValues" dxfId="2154" priority="2286"/>
    <cfRule type="duplicateValues" dxfId="2153" priority="2287"/>
    <cfRule type="duplicateValues" dxfId="2152" priority="2288"/>
    <cfRule type="duplicateValues" dxfId="2151" priority="2289"/>
    <cfRule type="duplicateValues" dxfId="2150" priority="2290"/>
    <cfRule type="duplicateValues" dxfId="2149" priority="2291"/>
    <cfRule type="duplicateValues" dxfId="2148" priority="2292"/>
    <cfRule type="duplicateValues" dxfId="2147" priority="2293"/>
  </conditionalFormatting>
  <conditionalFormatting sqref="C258:C259">
    <cfRule type="duplicateValues" dxfId="2146" priority="2262"/>
    <cfRule type="duplicateValues" dxfId="2145" priority="2263"/>
    <cfRule type="duplicateValues" dxfId="2144" priority="2264"/>
    <cfRule type="duplicateValues" dxfId="2143" priority="2265"/>
    <cfRule type="duplicateValues" dxfId="2142" priority="2266"/>
    <cfRule type="duplicateValues" dxfId="2141" priority="2267"/>
    <cfRule type="duplicateValues" dxfId="2140" priority="2268"/>
    <cfRule type="duplicateValues" dxfId="2139" priority="2269"/>
    <cfRule type="duplicateValues" dxfId="2138" priority="2270"/>
    <cfRule type="duplicateValues" dxfId="2137" priority="2271"/>
    <cfRule type="duplicateValues" dxfId="2136" priority="2272"/>
    <cfRule type="duplicateValues" dxfId="2135" priority="2273"/>
    <cfRule type="duplicateValues" dxfId="2134" priority="2274"/>
    <cfRule type="duplicateValues" dxfId="2133" priority="2275"/>
    <cfRule type="duplicateValues" dxfId="2132" priority="2276"/>
    <cfRule type="duplicateValues" dxfId="2131" priority="2277"/>
  </conditionalFormatting>
  <conditionalFormatting sqref="C260">
    <cfRule type="duplicateValues" dxfId="2130" priority="2246"/>
    <cfRule type="duplicateValues" dxfId="2129" priority="2247"/>
    <cfRule type="duplicateValues" dxfId="2128" priority="2248"/>
    <cfRule type="duplicateValues" dxfId="2127" priority="2249"/>
    <cfRule type="duplicateValues" dxfId="2126" priority="2250"/>
    <cfRule type="duplicateValues" dxfId="2125" priority="2251"/>
    <cfRule type="duplicateValues" dxfId="2124" priority="2252"/>
    <cfRule type="duplicateValues" dxfId="2123" priority="2253"/>
    <cfRule type="duplicateValues" dxfId="2122" priority="2254"/>
    <cfRule type="duplicateValues" dxfId="2121" priority="2255"/>
    <cfRule type="duplicateValues" dxfId="2120" priority="2256"/>
    <cfRule type="duplicateValues" dxfId="2119" priority="2257"/>
    <cfRule type="duplicateValues" dxfId="2118" priority="2258"/>
    <cfRule type="duplicateValues" dxfId="2117" priority="2259"/>
    <cfRule type="duplicateValues" dxfId="2116" priority="2260"/>
    <cfRule type="duplicateValues" dxfId="2115" priority="2261"/>
  </conditionalFormatting>
  <conditionalFormatting sqref="C261:C263">
    <cfRule type="duplicateValues" dxfId="2114" priority="2230"/>
    <cfRule type="duplicateValues" dxfId="2113" priority="2231"/>
    <cfRule type="duplicateValues" dxfId="2112" priority="2232"/>
    <cfRule type="duplicateValues" dxfId="2111" priority="2233"/>
    <cfRule type="duplicateValues" dxfId="2110" priority="2234"/>
    <cfRule type="duplicateValues" dxfId="2109" priority="2235"/>
    <cfRule type="duplicateValues" dxfId="2108" priority="2236"/>
    <cfRule type="duplicateValues" dxfId="2107" priority="2237"/>
    <cfRule type="duplicateValues" dxfId="2106" priority="2238"/>
    <cfRule type="duplicateValues" dxfId="2105" priority="2239"/>
    <cfRule type="duplicateValues" dxfId="2104" priority="2240"/>
    <cfRule type="duplicateValues" dxfId="2103" priority="2241"/>
    <cfRule type="duplicateValues" dxfId="2102" priority="2242"/>
    <cfRule type="duplicateValues" dxfId="2101" priority="2243"/>
    <cfRule type="duplicateValues" dxfId="2100" priority="2244"/>
    <cfRule type="duplicateValues" dxfId="2099" priority="2245"/>
  </conditionalFormatting>
  <conditionalFormatting sqref="C264:C265">
    <cfRule type="duplicateValues" dxfId="2098" priority="2214"/>
    <cfRule type="duplicateValues" dxfId="2097" priority="2215"/>
    <cfRule type="duplicateValues" dxfId="2096" priority="2216"/>
    <cfRule type="duplicateValues" dxfId="2095" priority="2217"/>
    <cfRule type="duplicateValues" dxfId="2094" priority="2218"/>
    <cfRule type="duplicateValues" dxfId="2093" priority="2219"/>
    <cfRule type="duplicateValues" dxfId="2092" priority="2220"/>
    <cfRule type="duplicateValues" dxfId="2091" priority="2221"/>
    <cfRule type="duplicateValues" dxfId="2090" priority="2222"/>
    <cfRule type="duplicateValues" dxfId="2089" priority="2223"/>
    <cfRule type="duplicateValues" dxfId="2088" priority="2224"/>
    <cfRule type="duplicateValues" dxfId="2087" priority="2225"/>
    <cfRule type="duplicateValues" dxfId="2086" priority="2226"/>
    <cfRule type="duplicateValues" dxfId="2085" priority="2227"/>
    <cfRule type="duplicateValues" dxfId="2084" priority="2228"/>
    <cfRule type="duplicateValues" dxfId="2083" priority="2229"/>
  </conditionalFormatting>
  <conditionalFormatting sqref="C266:C267">
    <cfRule type="duplicateValues" dxfId="2082" priority="2198"/>
    <cfRule type="duplicateValues" dxfId="2081" priority="2199"/>
    <cfRule type="duplicateValues" dxfId="2080" priority="2200"/>
    <cfRule type="duplicateValues" dxfId="2079" priority="2201"/>
    <cfRule type="duplicateValues" dxfId="2078" priority="2202"/>
    <cfRule type="duplicateValues" dxfId="2077" priority="2203"/>
    <cfRule type="duplicateValues" dxfId="2076" priority="2204"/>
    <cfRule type="duplicateValues" dxfId="2075" priority="2205"/>
    <cfRule type="duplicateValues" dxfId="2074" priority="2206"/>
    <cfRule type="duplicateValues" dxfId="2073" priority="2207"/>
    <cfRule type="duplicateValues" dxfId="2072" priority="2208"/>
    <cfRule type="duplicateValues" dxfId="2071" priority="2209"/>
    <cfRule type="duplicateValues" dxfId="2070" priority="2210"/>
    <cfRule type="duplicateValues" dxfId="2069" priority="2211"/>
    <cfRule type="duplicateValues" dxfId="2068" priority="2212"/>
    <cfRule type="duplicateValues" dxfId="2067" priority="2213"/>
  </conditionalFormatting>
  <conditionalFormatting sqref="C268">
    <cfRule type="duplicateValues" dxfId="2066" priority="2185"/>
    <cfRule type="duplicateValues" dxfId="2065" priority="2186"/>
    <cfRule type="duplicateValues" dxfId="2064" priority="2187"/>
    <cfRule type="duplicateValues" dxfId="2063" priority="2188"/>
    <cfRule type="duplicateValues" dxfId="2062" priority="2189"/>
    <cfRule type="duplicateValues" dxfId="2061" priority="2190"/>
    <cfRule type="duplicateValues" dxfId="2060" priority="2191"/>
    <cfRule type="duplicateValues" dxfId="2059" priority="2192"/>
    <cfRule type="duplicateValues" dxfId="2058" priority="2193"/>
    <cfRule type="duplicateValues" dxfId="2057" priority="2194"/>
    <cfRule type="duplicateValues" dxfId="2056" priority="2195"/>
    <cfRule type="duplicateValues" dxfId="2055" priority="2196"/>
    <cfRule type="duplicateValues" dxfId="2054" priority="2197"/>
  </conditionalFormatting>
  <conditionalFormatting sqref="C269">
    <cfRule type="duplicateValues" dxfId="2053" priority="2172"/>
    <cfRule type="duplicateValues" dxfId="2052" priority="2173"/>
    <cfRule type="duplicateValues" dxfId="2051" priority="2174"/>
    <cfRule type="duplicateValues" dxfId="2050" priority="2175"/>
    <cfRule type="duplicateValues" dxfId="2049" priority="2176"/>
    <cfRule type="duplicateValues" dxfId="2048" priority="2177"/>
    <cfRule type="duplicateValues" dxfId="2047" priority="2178"/>
    <cfRule type="duplicateValues" dxfId="2046" priority="2179"/>
    <cfRule type="duplicateValues" dxfId="2045" priority="2180"/>
    <cfRule type="duplicateValues" dxfId="2044" priority="2181"/>
    <cfRule type="duplicateValues" dxfId="2043" priority="2182"/>
    <cfRule type="duplicateValues" dxfId="2042" priority="2183"/>
    <cfRule type="duplicateValues" dxfId="2041" priority="2184"/>
  </conditionalFormatting>
  <conditionalFormatting sqref="C270:C273">
    <cfRule type="duplicateValues" dxfId="2040" priority="2156"/>
    <cfRule type="duplicateValues" dxfId="2039" priority="2157"/>
    <cfRule type="duplicateValues" dxfId="2038" priority="2158"/>
    <cfRule type="duplicateValues" dxfId="2037" priority="2159"/>
    <cfRule type="duplicateValues" dxfId="2036" priority="2160"/>
    <cfRule type="duplicateValues" dxfId="2035" priority="2161"/>
    <cfRule type="duplicateValues" dxfId="2034" priority="2162"/>
    <cfRule type="duplicateValues" dxfId="2033" priority="2163"/>
    <cfRule type="duplicateValues" dxfId="2032" priority="2164"/>
    <cfRule type="duplicateValues" dxfId="2031" priority="2165"/>
    <cfRule type="duplicateValues" dxfId="2030" priority="2166"/>
    <cfRule type="duplicateValues" dxfId="2029" priority="2167"/>
    <cfRule type="duplicateValues" dxfId="2028" priority="2168"/>
    <cfRule type="duplicateValues" dxfId="2027" priority="2169"/>
    <cfRule type="duplicateValues" dxfId="2026" priority="2170"/>
    <cfRule type="duplicateValues" dxfId="2025" priority="2171"/>
  </conditionalFormatting>
  <conditionalFormatting sqref="C274">
    <cfRule type="duplicateValues" dxfId="2024" priority="2124"/>
    <cfRule type="duplicateValues" dxfId="2023" priority="2125"/>
    <cfRule type="duplicateValues" dxfId="2022" priority="2126"/>
    <cfRule type="duplicateValues" dxfId="2021" priority="2127"/>
    <cfRule type="duplicateValues" dxfId="2020" priority="2128"/>
    <cfRule type="duplicateValues" dxfId="2019" priority="2129"/>
    <cfRule type="duplicateValues" dxfId="2018" priority="2130"/>
    <cfRule type="duplicateValues" dxfId="2017" priority="2131"/>
    <cfRule type="duplicateValues" dxfId="2016" priority="2132"/>
    <cfRule type="duplicateValues" dxfId="2015" priority="2133"/>
    <cfRule type="duplicateValues" dxfId="2014" priority="2134"/>
    <cfRule type="duplicateValues" dxfId="2013" priority="2135"/>
    <cfRule type="duplicateValues" dxfId="2012" priority="2136"/>
    <cfRule type="duplicateValues" dxfId="2011" priority="2137"/>
    <cfRule type="duplicateValues" dxfId="2010" priority="2138"/>
    <cfRule type="duplicateValues" dxfId="2009" priority="2139"/>
  </conditionalFormatting>
  <conditionalFormatting sqref="C275">
    <cfRule type="duplicateValues" dxfId="2008" priority="2105"/>
    <cfRule type="duplicateValues" dxfId="2007" priority="2106"/>
    <cfRule type="duplicateValues" dxfId="2006" priority="2107"/>
    <cfRule type="duplicateValues" dxfId="2005" priority="2108"/>
    <cfRule type="duplicateValues" dxfId="2004" priority="2109"/>
    <cfRule type="duplicateValues" dxfId="2003" priority="2110"/>
    <cfRule type="duplicateValues" dxfId="2002" priority="2111"/>
    <cfRule type="duplicateValues" dxfId="2001" priority="2112"/>
    <cfRule type="duplicateValues" dxfId="2000" priority="2113"/>
    <cfRule type="duplicateValues" dxfId="1999" priority="2114"/>
    <cfRule type="duplicateValues" dxfId="1998" priority="2115"/>
    <cfRule type="duplicateValues" dxfId="1997" priority="2116"/>
    <cfRule type="duplicateValues" dxfId="1996" priority="2117"/>
    <cfRule type="duplicateValues" dxfId="1995" priority="2118"/>
    <cfRule type="duplicateValues" dxfId="1994" priority="2119"/>
    <cfRule type="duplicateValues" dxfId="1993" priority="2120"/>
    <cfRule type="duplicateValues" dxfId="1992" priority="2121"/>
    <cfRule type="duplicateValues" dxfId="1991" priority="2122"/>
    <cfRule type="duplicateValues" dxfId="1990" priority="2123"/>
  </conditionalFormatting>
  <conditionalFormatting sqref="C276">
    <cfRule type="duplicateValues" dxfId="1989" priority="2086"/>
    <cfRule type="duplicateValues" dxfId="1988" priority="2087"/>
    <cfRule type="duplicateValues" dxfId="1987" priority="2088"/>
    <cfRule type="duplicateValues" dxfId="1986" priority="2089"/>
    <cfRule type="duplicateValues" dxfId="1985" priority="2090"/>
    <cfRule type="duplicateValues" dxfId="1984" priority="2091"/>
    <cfRule type="duplicateValues" dxfId="1983" priority="2092"/>
    <cfRule type="duplicateValues" dxfId="1982" priority="2093"/>
    <cfRule type="duplicateValues" dxfId="1981" priority="2094"/>
    <cfRule type="duplicateValues" dxfId="1980" priority="2095"/>
    <cfRule type="duplicateValues" dxfId="1979" priority="2096"/>
    <cfRule type="duplicateValues" dxfId="1978" priority="2097"/>
    <cfRule type="duplicateValues" dxfId="1977" priority="2098"/>
    <cfRule type="duplicateValues" dxfId="1976" priority="2099"/>
    <cfRule type="duplicateValues" dxfId="1975" priority="2100"/>
    <cfRule type="duplicateValues" dxfId="1974" priority="2101"/>
    <cfRule type="duplicateValues" dxfId="1973" priority="2102"/>
    <cfRule type="duplicateValues" dxfId="1972" priority="2103"/>
    <cfRule type="duplicateValues" dxfId="1971" priority="2104"/>
  </conditionalFormatting>
  <conditionalFormatting sqref="C277">
    <cfRule type="duplicateValues" dxfId="1970" priority="2068"/>
    <cfRule type="duplicateValues" dxfId="1969" priority="2069"/>
    <cfRule type="duplicateValues" dxfId="1968" priority="2070"/>
    <cfRule type="duplicateValues" dxfId="1967" priority="2071"/>
    <cfRule type="duplicateValues" dxfId="1966" priority="2072"/>
    <cfRule type="duplicateValues" dxfId="1965" priority="2073"/>
    <cfRule type="duplicateValues" dxfId="1964" priority="2074"/>
    <cfRule type="duplicateValues" dxfId="1963" priority="2075"/>
    <cfRule type="duplicateValues" dxfId="1962" priority="2076"/>
    <cfRule type="duplicateValues" dxfId="1961" priority="2077"/>
    <cfRule type="duplicateValues" dxfId="1960" priority="2078"/>
    <cfRule type="duplicateValues" dxfId="1959" priority="2079"/>
    <cfRule type="duplicateValues" dxfId="1958" priority="2080"/>
    <cfRule type="duplicateValues" dxfId="1957" priority="2081"/>
    <cfRule type="duplicateValues" dxfId="1956" priority="2082"/>
    <cfRule type="duplicateValues" dxfId="1955" priority="2083"/>
    <cfRule type="duplicateValues" dxfId="1954" priority="2084"/>
  </conditionalFormatting>
  <conditionalFormatting sqref="C277:C286">
    <cfRule type="duplicateValues" dxfId="1953" priority="2067"/>
    <cfRule type="duplicateValues" dxfId="1952" priority="2085"/>
  </conditionalFormatting>
  <conditionalFormatting sqref="C278">
    <cfRule type="duplicateValues" dxfId="1951" priority="2064"/>
    <cfRule type="duplicateValues" dxfId="1950" priority="2065"/>
    <cfRule type="duplicateValues" dxfId="1949" priority="2066"/>
  </conditionalFormatting>
  <conditionalFormatting sqref="C279:C285">
    <cfRule type="duplicateValues" dxfId="1948" priority="2061"/>
    <cfRule type="duplicateValues" dxfId="1947" priority="2062"/>
    <cfRule type="duplicateValues" dxfId="1946" priority="2063"/>
  </conditionalFormatting>
  <conditionalFormatting sqref="C286">
    <cfRule type="duplicateValues" dxfId="1945" priority="2058"/>
    <cfRule type="duplicateValues" dxfId="1944" priority="2059"/>
    <cfRule type="duplicateValues" dxfId="1943" priority="2060"/>
  </conditionalFormatting>
  <conditionalFormatting sqref="C287">
    <cfRule type="duplicateValues" dxfId="1942" priority="2054"/>
    <cfRule type="duplicateValues" dxfId="1941" priority="2055"/>
    <cfRule type="duplicateValues" dxfId="1940" priority="2056"/>
  </conditionalFormatting>
  <conditionalFormatting sqref="C287:C294">
    <cfRule type="duplicateValues" dxfId="1939" priority="2053"/>
    <cfRule type="duplicateValues" dxfId="1938" priority="2057"/>
  </conditionalFormatting>
  <conditionalFormatting sqref="C288:C293">
    <cfRule type="duplicateValues" dxfId="1937" priority="2050"/>
    <cfRule type="duplicateValues" dxfId="1936" priority="2051"/>
    <cfRule type="duplicateValues" dxfId="1935" priority="2052"/>
  </conditionalFormatting>
  <conditionalFormatting sqref="C294">
    <cfRule type="duplicateValues" dxfId="1934" priority="2047"/>
    <cfRule type="duplicateValues" dxfId="1933" priority="2048"/>
    <cfRule type="duplicateValues" dxfId="1932" priority="2049"/>
  </conditionalFormatting>
  <conditionalFormatting sqref="C295">
    <cfRule type="duplicateValues" dxfId="1931" priority="2020"/>
    <cfRule type="duplicateValues" dxfId="1930" priority="2021"/>
    <cfRule type="duplicateValues" dxfId="1929" priority="2022"/>
    <cfRule type="duplicateValues" dxfId="1928" priority="2023"/>
    <cfRule type="duplicateValues" dxfId="1927" priority="2024"/>
    <cfRule type="duplicateValues" dxfId="1926" priority="2025"/>
    <cfRule type="duplicateValues" dxfId="1925" priority="2026"/>
    <cfRule type="duplicateValues" dxfId="1924" priority="2027"/>
    <cfRule type="duplicateValues" dxfId="1923" priority="2028"/>
    <cfRule type="duplicateValues" dxfId="1922" priority="2029"/>
    <cfRule type="duplicateValues" dxfId="1921" priority="2030"/>
    <cfRule type="duplicateValues" dxfId="1920" priority="2031"/>
    <cfRule type="duplicateValues" dxfId="1919" priority="2032"/>
    <cfRule type="duplicateValues" dxfId="1918" priority="2033"/>
    <cfRule type="duplicateValues" dxfId="1917" priority="2034"/>
    <cfRule type="duplicateValues" dxfId="1916" priority="2035"/>
    <cfRule type="duplicateValues" dxfId="1915" priority="2036"/>
  </conditionalFormatting>
  <conditionalFormatting sqref="C295:C303">
    <cfRule type="duplicateValues" dxfId="1914" priority="2018"/>
    <cfRule type="duplicateValues" dxfId="1913" priority="2019"/>
    <cfRule type="duplicateValues" dxfId="1912" priority="2037"/>
  </conditionalFormatting>
  <conditionalFormatting sqref="C296:C301">
    <cfRule type="duplicateValues" dxfId="1911" priority="2015"/>
    <cfRule type="duplicateValues" dxfId="1910" priority="2016"/>
    <cfRule type="duplicateValues" dxfId="1909" priority="2017"/>
  </conditionalFormatting>
  <conditionalFormatting sqref="C302:C303">
    <cfRule type="duplicateValues" dxfId="1908" priority="2012"/>
    <cfRule type="duplicateValues" dxfId="1907" priority="2013"/>
    <cfRule type="duplicateValues" dxfId="1906" priority="2014"/>
  </conditionalFormatting>
  <conditionalFormatting sqref="C304">
    <cfRule type="duplicateValues" dxfId="1905" priority="1994"/>
    <cfRule type="duplicateValues" dxfId="1904" priority="1995"/>
    <cfRule type="duplicateValues" dxfId="1903" priority="1996"/>
    <cfRule type="duplicateValues" dxfId="1902" priority="1997"/>
    <cfRule type="duplicateValues" dxfId="1901" priority="1998"/>
    <cfRule type="duplicateValues" dxfId="1900" priority="1999"/>
    <cfRule type="duplicateValues" dxfId="1899" priority="2000"/>
    <cfRule type="duplicateValues" dxfId="1898" priority="2001"/>
    <cfRule type="duplicateValues" dxfId="1897" priority="2002"/>
    <cfRule type="duplicateValues" dxfId="1896" priority="2003"/>
    <cfRule type="duplicateValues" dxfId="1895" priority="2004"/>
    <cfRule type="duplicateValues" dxfId="1894" priority="2005"/>
    <cfRule type="duplicateValues" dxfId="1893" priority="2006"/>
    <cfRule type="duplicateValues" dxfId="1892" priority="2007"/>
    <cfRule type="duplicateValues" dxfId="1891" priority="2008"/>
    <cfRule type="duplicateValues" dxfId="1890" priority="2009"/>
    <cfRule type="duplicateValues" dxfId="1889" priority="2010"/>
  </conditionalFormatting>
  <conditionalFormatting sqref="C304:C311">
    <cfRule type="duplicateValues" dxfId="1888" priority="1992"/>
    <cfRule type="duplicateValues" dxfId="1887" priority="1993"/>
    <cfRule type="duplicateValues" dxfId="1886" priority="2011"/>
  </conditionalFormatting>
  <conditionalFormatting sqref="C305:C311">
    <cfRule type="duplicateValues" dxfId="1885" priority="1989"/>
    <cfRule type="duplicateValues" dxfId="1884" priority="1990"/>
    <cfRule type="duplicateValues" dxfId="1883" priority="1991"/>
  </conditionalFormatting>
  <conditionalFormatting sqref="C312">
    <cfRule type="duplicateValues" dxfId="1882" priority="1982"/>
    <cfRule type="duplicateValues" dxfId="1881" priority="1983"/>
    <cfRule type="duplicateValues" dxfId="1880" priority="1984"/>
  </conditionalFormatting>
  <conditionalFormatting sqref="C312:C325">
    <cfRule type="duplicateValues" dxfId="1879" priority="1980"/>
    <cfRule type="duplicateValues" dxfId="1878" priority="1981"/>
    <cfRule type="duplicateValues" dxfId="1877" priority="1988"/>
  </conditionalFormatting>
  <conditionalFormatting sqref="C313:C325">
    <cfRule type="duplicateValues" dxfId="1876" priority="1985"/>
    <cfRule type="duplicateValues" dxfId="1875" priority="1986"/>
    <cfRule type="duplicateValues" dxfId="1874" priority="1987"/>
  </conditionalFormatting>
  <conditionalFormatting sqref="C326:C327">
    <cfRule type="duplicateValues" dxfId="1873" priority="1962"/>
    <cfRule type="duplicateValues" dxfId="1872" priority="1963"/>
    <cfRule type="duplicateValues" dxfId="1871" priority="1964"/>
    <cfRule type="duplicateValues" dxfId="1870" priority="1965"/>
    <cfRule type="duplicateValues" dxfId="1869" priority="1966"/>
    <cfRule type="duplicateValues" dxfId="1868" priority="1967"/>
    <cfRule type="duplicateValues" dxfId="1867" priority="1968"/>
    <cfRule type="duplicateValues" dxfId="1866" priority="1969"/>
    <cfRule type="duplicateValues" dxfId="1865" priority="1970"/>
    <cfRule type="duplicateValues" dxfId="1864" priority="1971"/>
    <cfRule type="duplicateValues" dxfId="1863" priority="1972"/>
    <cfRule type="duplicateValues" dxfId="1862" priority="1973"/>
    <cfRule type="duplicateValues" dxfId="1861" priority="1974"/>
    <cfRule type="duplicateValues" dxfId="1860" priority="1975"/>
    <cfRule type="duplicateValues" dxfId="1859" priority="1976"/>
    <cfRule type="duplicateValues" dxfId="1858" priority="1977"/>
    <cfRule type="duplicateValues" dxfId="1857" priority="1978"/>
  </conditionalFormatting>
  <conditionalFormatting sqref="C326:C342">
    <cfRule type="duplicateValues" dxfId="1856" priority="9288"/>
    <cfRule type="duplicateValues" dxfId="1855" priority="9290"/>
    <cfRule type="duplicateValues" dxfId="1854" priority="9291"/>
  </conditionalFormatting>
  <conditionalFormatting sqref="C328:C330">
    <cfRule type="duplicateValues" dxfId="1853" priority="1956"/>
    <cfRule type="duplicateValues" dxfId="1852" priority="1957"/>
    <cfRule type="duplicateValues" dxfId="1851" priority="1958"/>
  </conditionalFormatting>
  <conditionalFormatting sqref="C331:C341">
    <cfRule type="duplicateValues" dxfId="1850" priority="9296"/>
    <cfRule type="duplicateValues" dxfId="1849" priority="9297"/>
    <cfRule type="duplicateValues" dxfId="1848" priority="9298"/>
  </conditionalFormatting>
  <conditionalFormatting sqref="C342">
    <cfRule type="duplicateValues" dxfId="1847" priority="1950"/>
    <cfRule type="duplicateValues" dxfId="1846" priority="1951"/>
    <cfRule type="duplicateValues" dxfId="1845" priority="1952"/>
  </conditionalFormatting>
  <conditionalFormatting sqref="C343">
    <cfRule type="duplicateValues" dxfId="1844" priority="1944"/>
    <cfRule type="duplicateValues" dxfId="1843" priority="1945"/>
    <cfRule type="duplicateValues" dxfId="1842" priority="1946"/>
    <cfRule type="duplicateValues" dxfId="1841" priority="1947"/>
    <cfRule type="duplicateValues" dxfId="1840" priority="1948"/>
    <cfRule type="duplicateValues" dxfId="1839" priority="1949"/>
  </conditionalFormatting>
  <conditionalFormatting sqref="C344">
    <cfRule type="duplicateValues" dxfId="1838" priority="1939"/>
    <cfRule type="duplicateValues" dxfId="1837" priority="1940"/>
    <cfRule type="duplicateValues" dxfId="1836" priority="1941"/>
  </conditionalFormatting>
  <conditionalFormatting sqref="C344:C350">
    <cfRule type="duplicateValues" dxfId="1835" priority="1937"/>
    <cfRule type="duplicateValues" dxfId="1834" priority="1938"/>
    <cfRule type="duplicateValues" dxfId="1833" priority="1942"/>
  </conditionalFormatting>
  <conditionalFormatting sqref="C345:C349">
    <cfRule type="duplicateValues" dxfId="1832" priority="1933"/>
    <cfRule type="duplicateValues" dxfId="1831" priority="1934"/>
    <cfRule type="duplicateValues" dxfId="1830" priority="1935"/>
  </conditionalFormatting>
  <conditionalFormatting sqref="C350">
    <cfRule type="duplicateValues" dxfId="1829" priority="1930"/>
    <cfRule type="duplicateValues" dxfId="1828" priority="1931"/>
    <cfRule type="duplicateValues" dxfId="1827" priority="1932"/>
  </conditionalFormatting>
  <conditionalFormatting sqref="C351">
    <cfRule type="duplicateValues" dxfId="1826" priority="1916"/>
    <cfRule type="duplicateValues" dxfId="1825" priority="1917"/>
    <cfRule type="duplicateValues" dxfId="1824" priority="1918"/>
    <cfRule type="duplicateValues" dxfId="1823" priority="1919"/>
    <cfRule type="duplicateValues" dxfId="1822" priority="1920"/>
    <cfRule type="duplicateValues" dxfId="1821" priority="1921"/>
    <cfRule type="duplicateValues" dxfId="1820" priority="1922"/>
    <cfRule type="duplicateValues" dxfId="1819" priority="1923"/>
    <cfRule type="duplicateValues" dxfId="1818" priority="1924"/>
    <cfRule type="duplicateValues" dxfId="1817" priority="1925"/>
    <cfRule type="duplicateValues" dxfId="1816" priority="1926"/>
    <cfRule type="duplicateValues" dxfId="1815" priority="1927"/>
    <cfRule type="duplicateValues" dxfId="1814" priority="1928"/>
    <cfRule type="duplicateValues" dxfId="1813" priority="1929"/>
  </conditionalFormatting>
  <conditionalFormatting sqref="C352">
    <cfRule type="duplicateValues" dxfId="1812" priority="1912"/>
    <cfRule type="duplicateValues" dxfId="1811" priority="1913"/>
    <cfRule type="duplicateValues" dxfId="1810" priority="1914"/>
  </conditionalFormatting>
  <conditionalFormatting sqref="C352:C360">
    <cfRule type="duplicateValues" dxfId="1809" priority="1910"/>
    <cfRule type="duplicateValues" dxfId="1808" priority="1911"/>
    <cfRule type="duplicateValues" dxfId="1807" priority="1915"/>
  </conditionalFormatting>
  <conditionalFormatting sqref="C353:C358">
    <cfRule type="duplicateValues" dxfId="1806" priority="1906"/>
    <cfRule type="duplicateValues" dxfId="1805" priority="1907"/>
    <cfRule type="duplicateValues" dxfId="1804" priority="1908"/>
  </conditionalFormatting>
  <conditionalFormatting sqref="C359:C360">
    <cfRule type="duplicateValues" dxfId="1803" priority="1903"/>
    <cfRule type="duplicateValues" dxfId="1802" priority="1904"/>
    <cfRule type="duplicateValues" dxfId="1801" priority="1905"/>
  </conditionalFormatting>
  <conditionalFormatting sqref="C361">
    <cfRule type="duplicateValues" dxfId="1800" priority="1897"/>
    <cfRule type="duplicateValues" dxfId="1799" priority="1898"/>
    <cfRule type="duplicateValues" dxfId="1798" priority="1899"/>
  </conditionalFormatting>
  <conditionalFormatting sqref="C361:C379">
    <cfRule type="duplicateValues" dxfId="1797" priority="1895"/>
    <cfRule type="duplicateValues" dxfId="1796" priority="1896"/>
    <cfRule type="duplicateValues" dxfId="1795" priority="1900"/>
  </conditionalFormatting>
  <conditionalFormatting sqref="C362:C375">
    <cfRule type="duplicateValues" dxfId="1794" priority="1891"/>
    <cfRule type="duplicateValues" dxfId="1793" priority="1892"/>
    <cfRule type="duplicateValues" dxfId="1792" priority="1893"/>
  </conditionalFormatting>
  <conditionalFormatting sqref="C376:C379">
    <cfRule type="duplicateValues" dxfId="1791" priority="1888"/>
    <cfRule type="duplicateValues" dxfId="1790" priority="1889"/>
    <cfRule type="duplicateValues" dxfId="1789" priority="1890"/>
  </conditionalFormatting>
  <conditionalFormatting sqref="C380:C382">
    <cfRule type="duplicateValues" dxfId="1788" priority="1883"/>
    <cfRule type="duplicateValues" dxfId="1787" priority="1884"/>
    <cfRule type="duplicateValues" dxfId="1786" priority="1885"/>
  </conditionalFormatting>
  <conditionalFormatting sqref="C380:C387">
    <cfRule type="duplicateValues" dxfId="1785" priority="1881"/>
    <cfRule type="duplicateValues" dxfId="1784" priority="1882"/>
    <cfRule type="duplicateValues" dxfId="1783" priority="1886"/>
  </conditionalFormatting>
  <conditionalFormatting sqref="C383:C387">
    <cfRule type="duplicateValues" dxfId="1782" priority="1877"/>
    <cfRule type="duplicateValues" dxfId="1781" priority="1878"/>
    <cfRule type="duplicateValues" dxfId="1780" priority="1879"/>
  </conditionalFormatting>
  <conditionalFormatting sqref="C388:C392">
    <cfRule type="duplicateValues" dxfId="1779" priority="1870"/>
    <cfRule type="duplicateValues" dxfId="1778" priority="1871"/>
    <cfRule type="duplicateValues" dxfId="1777" priority="1872"/>
  </conditionalFormatting>
  <conditionalFormatting sqref="C388:C396">
    <cfRule type="duplicateValues" dxfId="1776" priority="1868"/>
    <cfRule type="duplicateValues" dxfId="1775" priority="1873"/>
    <cfRule type="duplicateValues" dxfId="1774" priority="1874"/>
    <cfRule type="duplicateValues" dxfId="1773" priority="1875"/>
  </conditionalFormatting>
  <conditionalFormatting sqref="C393:C396">
    <cfRule type="duplicateValues" dxfId="1772" priority="1865"/>
    <cfRule type="duplicateValues" dxfId="1771" priority="1866"/>
    <cfRule type="duplicateValues" dxfId="1770" priority="1867"/>
  </conditionalFormatting>
  <conditionalFormatting sqref="C397:C399">
    <cfRule type="duplicateValues" dxfId="1769" priority="1858"/>
    <cfRule type="duplicateValues" dxfId="1768" priority="1859"/>
    <cfRule type="duplicateValues" dxfId="1767" priority="1860"/>
  </conditionalFormatting>
  <conditionalFormatting sqref="C397:C401">
    <cfRule type="duplicateValues" dxfId="1766" priority="1855"/>
    <cfRule type="duplicateValues" dxfId="1765" priority="1856"/>
    <cfRule type="duplicateValues" dxfId="1764" priority="1861"/>
    <cfRule type="duplicateValues" dxfId="1763" priority="1862"/>
    <cfRule type="duplicateValues" dxfId="1762" priority="1863"/>
  </conditionalFormatting>
  <conditionalFormatting sqref="C400:C401">
    <cfRule type="duplicateValues" dxfId="1761" priority="1852"/>
    <cfRule type="duplicateValues" dxfId="1760" priority="1853"/>
    <cfRule type="duplicateValues" dxfId="1759" priority="1854"/>
  </conditionalFormatting>
  <conditionalFormatting sqref="C402:C404">
    <cfRule type="duplicateValues" dxfId="1758" priority="1845"/>
    <cfRule type="duplicateValues" dxfId="1757" priority="1846"/>
    <cfRule type="duplicateValues" dxfId="1756" priority="1847"/>
  </conditionalFormatting>
  <conditionalFormatting sqref="C402:C405">
    <cfRule type="duplicateValues" dxfId="1755" priority="1842"/>
    <cfRule type="duplicateValues" dxfId="1754" priority="1843"/>
    <cfRule type="duplicateValues" dxfId="1753" priority="1848"/>
    <cfRule type="duplicateValues" dxfId="1752" priority="1849"/>
    <cfRule type="duplicateValues" dxfId="1751" priority="1850"/>
  </conditionalFormatting>
  <conditionalFormatting sqref="C405">
    <cfRule type="duplicateValues" dxfId="1750" priority="1839"/>
    <cfRule type="duplicateValues" dxfId="1749" priority="1840"/>
    <cfRule type="duplicateValues" dxfId="1748" priority="1841"/>
  </conditionalFormatting>
  <conditionalFormatting sqref="C406:C407">
    <cfRule type="duplicateValues" dxfId="1747" priority="1832"/>
    <cfRule type="duplicateValues" dxfId="1746" priority="1833"/>
    <cfRule type="duplicateValues" dxfId="1745" priority="1834"/>
  </conditionalFormatting>
  <conditionalFormatting sqref="C406:C410">
    <cfRule type="duplicateValues" dxfId="1744" priority="1829"/>
    <cfRule type="duplicateValues" dxfId="1743" priority="1830"/>
    <cfRule type="duplicateValues" dxfId="1742" priority="1835"/>
    <cfRule type="duplicateValues" dxfId="1741" priority="1836"/>
    <cfRule type="duplicateValues" dxfId="1740" priority="1837"/>
  </conditionalFormatting>
  <conditionalFormatting sqref="C408:C410">
    <cfRule type="duplicateValues" dxfId="1739" priority="1826"/>
    <cfRule type="duplicateValues" dxfId="1738" priority="1827"/>
    <cfRule type="duplicateValues" dxfId="1737" priority="1828"/>
  </conditionalFormatting>
  <conditionalFormatting sqref="C411:C413">
    <cfRule type="duplicateValues" dxfId="1736" priority="1805"/>
    <cfRule type="duplicateValues" dxfId="1735" priority="1806"/>
    <cfRule type="duplicateValues" dxfId="1734" priority="1807"/>
    <cfRule type="duplicateValues" dxfId="1733" priority="1808"/>
    <cfRule type="duplicateValues" dxfId="1732" priority="1809"/>
    <cfRule type="duplicateValues" dxfId="1731" priority="1810"/>
    <cfRule type="duplicateValues" dxfId="1730" priority="1811"/>
    <cfRule type="duplicateValues" dxfId="1729" priority="1812"/>
    <cfRule type="duplicateValues" dxfId="1728" priority="1813"/>
    <cfRule type="duplicateValues" dxfId="1727" priority="1814"/>
    <cfRule type="duplicateValues" dxfId="1726" priority="1815"/>
    <cfRule type="duplicateValues" dxfId="1725" priority="1816"/>
    <cfRule type="duplicateValues" dxfId="1724" priority="1817"/>
    <cfRule type="duplicateValues" dxfId="1723" priority="1818"/>
    <cfRule type="duplicateValues" dxfId="1722" priority="1819"/>
    <cfRule type="duplicateValues" dxfId="1721" priority="1820"/>
    <cfRule type="duplicateValues" dxfId="1720" priority="1821"/>
  </conditionalFormatting>
  <conditionalFormatting sqref="C411:C418">
    <cfRule type="duplicateValues" dxfId="1719" priority="10944"/>
    <cfRule type="duplicateValues" dxfId="1718" priority="10946"/>
    <cfRule type="duplicateValues" dxfId="1717" priority="10947"/>
  </conditionalFormatting>
  <conditionalFormatting sqref="C414">
    <cfRule type="duplicateValues" dxfId="1716" priority="1799"/>
    <cfRule type="duplicateValues" dxfId="1715" priority="1800"/>
    <cfRule type="duplicateValues" dxfId="1714" priority="1801"/>
  </conditionalFormatting>
  <conditionalFormatting sqref="C415">
    <cfRule type="duplicateValues" dxfId="1713" priority="1796"/>
    <cfRule type="duplicateValues" dxfId="1712" priority="1797"/>
    <cfRule type="duplicateValues" dxfId="1711" priority="1798"/>
  </conditionalFormatting>
  <conditionalFormatting sqref="C416:C418">
    <cfRule type="duplicateValues" dxfId="1710" priority="10956"/>
    <cfRule type="duplicateValues" dxfId="1709" priority="10957"/>
    <cfRule type="duplicateValues" dxfId="1708" priority="10958"/>
  </conditionalFormatting>
  <conditionalFormatting sqref="C419:C422">
    <cfRule type="duplicateValues" dxfId="1707" priority="1782"/>
    <cfRule type="duplicateValues" dxfId="1706" priority="1783"/>
    <cfRule type="duplicateValues" dxfId="1705" priority="1785"/>
    <cfRule type="duplicateValues" dxfId="1704" priority="1786"/>
    <cfRule type="duplicateValues" dxfId="1703" priority="1787"/>
    <cfRule type="duplicateValues" dxfId="1702" priority="1788"/>
    <cfRule type="duplicateValues" dxfId="1701" priority="1789"/>
    <cfRule type="duplicateValues" dxfId="1700" priority="1790"/>
  </conditionalFormatting>
  <conditionalFormatting sqref="C423">
    <cfRule type="duplicateValues" dxfId="1699" priority="1770"/>
    <cfRule type="duplicateValues" dxfId="1698" priority="1771"/>
    <cfRule type="duplicateValues" dxfId="1697" priority="1772"/>
    <cfRule type="duplicateValues" dxfId="1696" priority="1775"/>
    <cfRule type="duplicateValues" dxfId="1695" priority="1776"/>
    <cfRule type="duplicateValues" dxfId="1694" priority="1777"/>
    <cfRule type="duplicateValues" dxfId="1693" priority="1778"/>
    <cfRule type="duplicateValues" dxfId="1692" priority="1779"/>
    <cfRule type="duplicateValues" dxfId="1691" priority="1780"/>
  </conditionalFormatting>
  <conditionalFormatting sqref="C424:C425">
    <cfRule type="duplicateValues" dxfId="1690" priority="1759"/>
    <cfRule type="duplicateValues" dxfId="1689" priority="1760"/>
    <cfRule type="duplicateValues" dxfId="1688" priority="1761"/>
    <cfRule type="duplicateValues" dxfId="1687" priority="1764"/>
    <cfRule type="duplicateValues" dxfId="1686" priority="1765"/>
    <cfRule type="duplicateValues" dxfId="1685" priority="1766"/>
    <cfRule type="duplicateValues" dxfId="1684" priority="1767"/>
    <cfRule type="duplicateValues" dxfId="1683" priority="1768"/>
    <cfRule type="duplicateValues" dxfId="1682" priority="1769"/>
  </conditionalFormatting>
  <conditionalFormatting sqref="C426">
    <cfRule type="duplicateValues" dxfId="1681" priority="1748"/>
    <cfRule type="duplicateValues" dxfId="1680" priority="1749"/>
    <cfRule type="duplicateValues" dxfId="1679" priority="1750"/>
    <cfRule type="duplicateValues" dxfId="1678" priority="1752"/>
    <cfRule type="duplicateValues" dxfId="1677" priority="1753"/>
    <cfRule type="duplicateValues" dxfId="1676" priority="1754"/>
    <cfRule type="duplicateValues" dxfId="1675" priority="1755"/>
    <cfRule type="duplicateValues" dxfId="1674" priority="1756"/>
    <cfRule type="duplicateValues" dxfId="1673" priority="1757"/>
  </conditionalFormatting>
  <conditionalFormatting sqref="C427:C428">
    <cfRule type="duplicateValues" dxfId="1672" priority="1737"/>
    <cfRule type="duplicateValues" dxfId="1671" priority="1738"/>
    <cfRule type="duplicateValues" dxfId="1670" priority="1739"/>
    <cfRule type="duplicateValues" dxfId="1669" priority="1742"/>
    <cfRule type="duplicateValues" dxfId="1668" priority="1743"/>
    <cfRule type="duplicateValues" dxfId="1667" priority="1744"/>
    <cfRule type="duplicateValues" dxfId="1666" priority="1745"/>
    <cfRule type="duplicateValues" dxfId="1665" priority="1746"/>
    <cfRule type="duplicateValues" dxfId="1664" priority="1747"/>
  </conditionalFormatting>
  <conditionalFormatting sqref="C429:C430">
    <cfRule type="duplicateValues" dxfId="1663" priority="1726"/>
    <cfRule type="duplicateValues" dxfId="1662" priority="1727"/>
    <cfRule type="duplicateValues" dxfId="1661" priority="1728"/>
    <cfRule type="duplicateValues" dxfId="1660" priority="1731"/>
    <cfRule type="duplicateValues" dxfId="1659" priority="1732"/>
    <cfRule type="duplicateValues" dxfId="1658" priority="1733"/>
    <cfRule type="duplicateValues" dxfId="1657" priority="1734"/>
    <cfRule type="duplicateValues" dxfId="1656" priority="1735"/>
    <cfRule type="duplicateValues" dxfId="1655" priority="1736"/>
  </conditionalFormatting>
  <conditionalFormatting sqref="C431">
    <cfRule type="duplicateValues" dxfId="1654" priority="1710"/>
    <cfRule type="duplicateValues" dxfId="1653" priority="1711"/>
    <cfRule type="duplicateValues" dxfId="1652" priority="1712"/>
  </conditionalFormatting>
  <conditionalFormatting sqref="C431:C433">
    <cfRule type="duplicateValues" dxfId="1651" priority="1703"/>
    <cfRule type="duplicateValues" dxfId="1650" priority="1705"/>
    <cfRule type="duplicateValues" dxfId="1649" priority="1706"/>
    <cfRule type="duplicateValues" dxfId="1648" priority="1707"/>
    <cfRule type="duplicateValues" dxfId="1647" priority="1708"/>
    <cfRule type="duplicateValues" dxfId="1646" priority="1709"/>
    <cfRule type="duplicateValues" dxfId="1645" priority="1713"/>
  </conditionalFormatting>
  <conditionalFormatting sqref="C432:C433">
    <cfRule type="duplicateValues" dxfId="1644" priority="1700"/>
    <cfRule type="duplicateValues" dxfId="1643" priority="1701"/>
    <cfRule type="duplicateValues" dxfId="1642" priority="1702"/>
  </conditionalFormatting>
  <conditionalFormatting sqref="C434">
    <cfRule type="duplicateValues" dxfId="1641" priority="1676"/>
    <cfRule type="duplicateValues" dxfId="1640" priority="1677"/>
    <cfRule type="duplicateValues" dxfId="1639" priority="1678"/>
    <cfRule type="duplicateValues" dxfId="1638" priority="1679"/>
    <cfRule type="duplicateValues" dxfId="1637" priority="1680"/>
    <cfRule type="duplicateValues" dxfId="1636" priority="1681"/>
    <cfRule type="duplicateValues" dxfId="1635" priority="1682"/>
    <cfRule type="duplicateValues" dxfId="1634" priority="1683"/>
    <cfRule type="duplicateValues" dxfId="1633" priority="1684"/>
    <cfRule type="duplicateValues" dxfId="1632" priority="1685"/>
    <cfRule type="duplicateValues" dxfId="1631" priority="1686"/>
    <cfRule type="duplicateValues" dxfId="1630" priority="1687"/>
    <cfRule type="duplicateValues" dxfId="1629" priority="1688"/>
    <cfRule type="duplicateValues" dxfId="1628" priority="1689"/>
    <cfRule type="duplicateValues" dxfId="1627" priority="1690"/>
    <cfRule type="duplicateValues" dxfId="1626" priority="1691"/>
    <cfRule type="duplicateValues" dxfId="1625" priority="1692"/>
  </conditionalFormatting>
  <conditionalFormatting sqref="C434:C438">
    <cfRule type="duplicateValues" dxfId="1624" priority="1674"/>
    <cfRule type="duplicateValues" dxfId="1623" priority="1693"/>
    <cfRule type="duplicateValues" dxfId="1622" priority="1694"/>
    <cfRule type="duplicateValues" dxfId="1621" priority="1695"/>
    <cfRule type="duplicateValues" dxfId="1620" priority="1696"/>
    <cfRule type="duplicateValues" dxfId="1619" priority="1697"/>
    <cfRule type="duplicateValues" dxfId="1618" priority="1698"/>
  </conditionalFormatting>
  <conditionalFormatting sqref="C435:C438">
    <cfRule type="duplicateValues" dxfId="1617" priority="1671"/>
    <cfRule type="duplicateValues" dxfId="1616" priority="1672"/>
    <cfRule type="duplicateValues" dxfId="1615" priority="1673"/>
  </conditionalFormatting>
  <conditionalFormatting sqref="C439">
    <cfRule type="duplicateValues" dxfId="1614" priority="1626"/>
    <cfRule type="duplicateValues" dxfId="1613" priority="1627"/>
    <cfRule type="duplicateValues" dxfId="1612" priority="1628"/>
    <cfRule type="duplicateValues" dxfId="1611" priority="1629"/>
    <cfRule type="duplicateValues" dxfId="1610" priority="1630"/>
    <cfRule type="duplicateValues" dxfId="1609" priority="1631"/>
    <cfRule type="duplicateValues" dxfId="1608" priority="1632"/>
    <cfRule type="duplicateValues" dxfId="1607" priority="1633"/>
    <cfRule type="duplicateValues" dxfId="1606" priority="1634"/>
    <cfRule type="duplicateValues" dxfId="1605" priority="1635"/>
    <cfRule type="duplicateValues" dxfId="1604" priority="1636"/>
    <cfRule type="duplicateValues" dxfId="1603" priority="1637"/>
    <cfRule type="duplicateValues" dxfId="1602" priority="1638"/>
    <cfRule type="duplicateValues" dxfId="1601" priority="1639"/>
    <cfRule type="duplicateValues" dxfId="1600" priority="1640"/>
    <cfRule type="duplicateValues" dxfId="1599" priority="1641"/>
    <cfRule type="duplicateValues" dxfId="1598" priority="1642"/>
  </conditionalFormatting>
  <conditionalFormatting sqref="C439:C441">
    <cfRule type="duplicateValues" dxfId="1597" priority="1624"/>
    <cfRule type="duplicateValues" dxfId="1596" priority="1643"/>
    <cfRule type="duplicateValues" dxfId="1595" priority="1644"/>
    <cfRule type="duplicateValues" dxfId="1594" priority="1645"/>
    <cfRule type="duplicateValues" dxfId="1593" priority="1646"/>
    <cfRule type="duplicateValues" dxfId="1592" priority="1647"/>
    <cfRule type="duplicateValues" dxfId="1591" priority="1648"/>
  </conditionalFormatting>
  <conditionalFormatting sqref="C440:C441">
    <cfRule type="duplicateValues" dxfId="1590" priority="1621"/>
    <cfRule type="duplicateValues" dxfId="1589" priority="1622"/>
    <cfRule type="duplicateValues" dxfId="1588" priority="1623"/>
  </conditionalFormatting>
  <conditionalFormatting sqref="C442">
    <cfRule type="duplicateValues" dxfId="1587" priority="1610"/>
    <cfRule type="duplicateValues" dxfId="1586" priority="1611"/>
    <cfRule type="duplicateValues" dxfId="1585" priority="1612"/>
  </conditionalFormatting>
  <conditionalFormatting sqref="C442:C444">
    <cfRule type="duplicateValues" dxfId="1584" priority="1608"/>
    <cfRule type="duplicateValues" dxfId="1583" priority="1613"/>
    <cfRule type="duplicateValues" dxfId="1582" priority="1614"/>
    <cfRule type="duplicateValues" dxfId="1581" priority="1615"/>
    <cfRule type="duplicateValues" dxfId="1580" priority="1616"/>
    <cfRule type="duplicateValues" dxfId="1579" priority="1617"/>
    <cfRule type="duplicateValues" dxfId="1578" priority="1618"/>
  </conditionalFormatting>
  <conditionalFormatting sqref="C443:C444">
    <cfRule type="duplicateValues" dxfId="1577" priority="1605"/>
    <cfRule type="duplicateValues" dxfId="1576" priority="1606"/>
    <cfRule type="duplicateValues" dxfId="1575" priority="1607"/>
  </conditionalFormatting>
  <conditionalFormatting sqref="C445">
    <cfRule type="duplicateValues" dxfId="1574" priority="1590"/>
    <cfRule type="duplicateValues" dxfId="1573" priority="1591"/>
    <cfRule type="duplicateValues" dxfId="1572" priority="1592"/>
    <cfRule type="duplicateValues" dxfId="1571" priority="1593"/>
    <cfRule type="duplicateValues" dxfId="1570" priority="1594"/>
    <cfRule type="duplicateValues" dxfId="1569" priority="1595"/>
    <cfRule type="duplicateValues" dxfId="1568" priority="1596"/>
    <cfRule type="duplicateValues" dxfId="1567" priority="1597"/>
    <cfRule type="duplicateValues" dxfId="1566" priority="1598"/>
    <cfRule type="duplicateValues" dxfId="1565" priority="1599"/>
    <cfRule type="duplicateValues" dxfId="1564" priority="1600"/>
    <cfRule type="duplicateValues" dxfId="1563" priority="1601"/>
    <cfRule type="duplicateValues" dxfId="1562" priority="1602"/>
    <cfRule type="duplicateValues" dxfId="1561" priority="1603"/>
  </conditionalFormatting>
  <conditionalFormatting sqref="C446">
    <cfRule type="duplicateValues" dxfId="1560" priority="1567"/>
    <cfRule type="duplicateValues" dxfId="1559" priority="1568"/>
    <cfRule type="duplicateValues" dxfId="1558" priority="1569"/>
    <cfRule type="duplicateValues" dxfId="1557" priority="1570"/>
    <cfRule type="duplicateValues" dxfId="1556" priority="1571"/>
    <cfRule type="duplicateValues" dxfId="1555" priority="1572"/>
    <cfRule type="duplicateValues" dxfId="1554" priority="1573"/>
    <cfRule type="duplicateValues" dxfId="1553" priority="1574"/>
    <cfRule type="duplicateValues" dxfId="1552" priority="1575"/>
    <cfRule type="duplicateValues" dxfId="1551" priority="1576"/>
    <cfRule type="duplicateValues" dxfId="1550" priority="1577"/>
    <cfRule type="duplicateValues" dxfId="1549" priority="1578"/>
    <cfRule type="duplicateValues" dxfId="1548" priority="1579"/>
    <cfRule type="duplicateValues" dxfId="1547" priority="1580"/>
    <cfRule type="duplicateValues" dxfId="1546" priority="1581"/>
    <cfRule type="duplicateValues" dxfId="1545" priority="1582"/>
    <cfRule type="duplicateValues" dxfId="1544" priority="1583"/>
  </conditionalFormatting>
  <conditionalFormatting sqref="C446:C449">
    <cfRule type="duplicateValues" dxfId="1543" priority="1565"/>
    <cfRule type="duplicateValues" dxfId="1542" priority="1584"/>
    <cfRule type="duplicateValues" dxfId="1541" priority="1585"/>
    <cfRule type="duplicateValues" dxfId="1540" priority="1586"/>
    <cfRule type="duplicateValues" dxfId="1539" priority="1587"/>
    <cfRule type="duplicateValues" dxfId="1538" priority="1588"/>
    <cfRule type="duplicateValues" dxfId="1537" priority="1589"/>
  </conditionalFormatting>
  <conditionalFormatting sqref="C447:C449">
    <cfRule type="duplicateValues" dxfId="1536" priority="1562"/>
    <cfRule type="duplicateValues" dxfId="1535" priority="1563"/>
    <cfRule type="duplicateValues" dxfId="1534" priority="1564"/>
  </conditionalFormatting>
  <conditionalFormatting sqref="C450">
    <cfRule type="duplicateValues" dxfId="1533" priority="1552"/>
    <cfRule type="duplicateValues" dxfId="1532" priority="1553"/>
    <cfRule type="duplicateValues" dxfId="1531" priority="1554"/>
  </conditionalFormatting>
  <conditionalFormatting sqref="C450:C451">
    <cfRule type="duplicateValues" dxfId="1530" priority="1550"/>
    <cfRule type="duplicateValues" dxfId="1529" priority="1555"/>
    <cfRule type="duplicateValues" dxfId="1528" priority="1556"/>
    <cfRule type="duplicateValues" dxfId="1527" priority="1557"/>
    <cfRule type="duplicateValues" dxfId="1526" priority="1558"/>
    <cfRule type="duplicateValues" dxfId="1525" priority="1559"/>
    <cfRule type="duplicateValues" dxfId="1524" priority="1560"/>
  </conditionalFormatting>
  <conditionalFormatting sqref="C451">
    <cfRule type="duplicateValues" dxfId="1523" priority="1547"/>
    <cfRule type="duplicateValues" dxfId="1522" priority="1548"/>
    <cfRule type="duplicateValues" dxfId="1521" priority="1549"/>
  </conditionalFormatting>
  <conditionalFormatting sqref="C452">
    <cfRule type="duplicateValues" dxfId="1520" priority="1521"/>
    <cfRule type="duplicateValues" dxfId="1519" priority="1522"/>
    <cfRule type="duplicateValues" dxfId="1518" priority="1523"/>
    <cfRule type="duplicateValues" dxfId="1517" priority="1524"/>
    <cfRule type="duplicateValues" dxfId="1516" priority="1525"/>
    <cfRule type="duplicateValues" dxfId="1515" priority="1526"/>
    <cfRule type="duplicateValues" dxfId="1514" priority="1527"/>
    <cfRule type="duplicateValues" dxfId="1513" priority="1528"/>
    <cfRule type="duplicateValues" dxfId="1512" priority="1529"/>
    <cfRule type="duplicateValues" dxfId="1511" priority="1530"/>
    <cfRule type="duplicateValues" dxfId="1510" priority="1531"/>
    <cfRule type="duplicateValues" dxfId="1509" priority="1532"/>
    <cfRule type="duplicateValues" dxfId="1508" priority="1533"/>
    <cfRule type="duplicateValues" dxfId="1507" priority="1534"/>
    <cfRule type="duplicateValues" dxfId="1506" priority="1535"/>
    <cfRule type="duplicateValues" dxfId="1505" priority="1536"/>
    <cfRule type="duplicateValues" dxfId="1504" priority="1537"/>
  </conditionalFormatting>
  <conditionalFormatting sqref="C452:C456">
    <cfRule type="duplicateValues" dxfId="1503" priority="1519"/>
    <cfRule type="duplicateValues" dxfId="1502" priority="1538"/>
    <cfRule type="duplicateValues" dxfId="1501" priority="1539"/>
    <cfRule type="duplicateValues" dxfId="1500" priority="1540"/>
    <cfRule type="duplicateValues" dxfId="1499" priority="1541"/>
    <cfRule type="duplicateValues" dxfId="1498" priority="1542"/>
    <cfRule type="duplicateValues" dxfId="1497" priority="1543"/>
    <cfRule type="duplicateValues" dxfId="1496" priority="1544"/>
    <cfRule type="duplicateValues" dxfId="1495" priority="1545"/>
  </conditionalFormatting>
  <conditionalFormatting sqref="C453">
    <cfRule type="duplicateValues" dxfId="1494" priority="1516"/>
    <cfRule type="duplicateValues" dxfId="1493" priority="1517"/>
    <cfRule type="duplicateValues" dxfId="1492" priority="1518"/>
  </conditionalFormatting>
  <conditionalFormatting sqref="C454:C455">
    <cfRule type="duplicateValues" dxfId="1491" priority="1513"/>
    <cfRule type="duplicateValues" dxfId="1490" priority="1514"/>
    <cfRule type="duplicateValues" dxfId="1489" priority="1515"/>
  </conditionalFormatting>
  <conditionalFormatting sqref="C456">
    <cfRule type="duplicateValues" dxfId="1488" priority="1510"/>
    <cfRule type="duplicateValues" dxfId="1487" priority="1511"/>
    <cfRule type="duplicateValues" dxfId="1486" priority="1512"/>
  </conditionalFormatting>
  <conditionalFormatting sqref="C457">
    <cfRule type="duplicateValues" dxfId="1485" priority="1495"/>
    <cfRule type="duplicateValues" dxfId="1484" priority="1498"/>
    <cfRule type="duplicateValues" dxfId="1483" priority="1499"/>
    <cfRule type="duplicateValues" dxfId="1482" priority="1500"/>
    <cfRule type="duplicateValues" dxfId="1481" priority="1501"/>
    <cfRule type="duplicateValues" dxfId="1480" priority="1502"/>
    <cfRule type="duplicateValues" dxfId="1479" priority="1503"/>
    <cfRule type="duplicateValues" dxfId="1478" priority="1504"/>
    <cfRule type="duplicateValues" dxfId="1477" priority="1505"/>
    <cfRule type="duplicateValues" dxfId="1476" priority="1506"/>
    <cfRule type="duplicateValues" dxfId="1475" priority="1507"/>
    <cfRule type="duplicateValues" dxfId="1474" priority="1508"/>
  </conditionalFormatting>
  <conditionalFormatting sqref="C458">
    <cfRule type="duplicateValues" dxfId="1473" priority="1484"/>
    <cfRule type="duplicateValues" dxfId="1472" priority="1485"/>
    <cfRule type="duplicateValues" dxfId="1471" priority="1486"/>
  </conditionalFormatting>
  <conditionalFormatting sqref="C458:C459">
    <cfRule type="duplicateValues" dxfId="1470" priority="1482"/>
    <cfRule type="duplicateValues" dxfId="1469" priority="1487"/>
    <cfRule type="duplicateValues" dxfId="1468" priority="1488"/>
    <cfRule type="duplicateValues" dxfId="1467" priority="1489"/>
    <cfRule type="duplicateValues" dxfId="1466" priority="1490"/>
    <cfRule type="duplicateValues" dxfId="1465" priority="1491"/>
    <cfRule type="duplicateValues" dxfId="1464" priority="1492"/>
    <cfRule type="duplicateValues" dxfId="1463" priority="1493"/>
    <cfRule type="duplicateValues" dxfId="1462" priority="1494"/>
  </conditionalFormatting>
  <conditionalFormatting sqref="C459">
    <cfRule type="duplicateValues" dxfId="1461" priority="1478"/>
    <cfRule type="duplicateValues" dxfId="1460" priority="1479"/>
    <cfRule type="duplicateValues" dxfId="1459" priority="1480"/>
  </conditionalFormatting>
  <conditionalFormatting sqref="C460">
    <cfRule type="duplicateValues" dxfId="1458" priority="1464"/>
    <cfRule type="duplicateValues" dxfId="1457" priority="1465"/>
    <cfRule type="duplicateValues" dxfId="1456" priority="1466"/>
    <cfRule type="duplicateValues" dxfId="1455" priority="1467"/>
    <cfRule type="duplicateValues" dxfId="1454" priority="1468"/>
    <cfRule type="duplicateValues" dxfId="1453" priority="1469"/>
    <cfRule type="duplicateValues" dxfId="1452" priority="1470"/>
    <cfRule type="duplicateValues" dxfId="1451" priority="1471"/>
    <cfRule type="duplicateValues" dxfId="1450" priority="1472"/>
    <cfRule type="duplicateValues" dxfId="1449" priority="1473"/>
    <cfRule type="duplicateValues" dxfId="1448" priority="1474"/>
    <cfRule type="duplicateValues" dxfId="1447" priority="1475"/>
    <cfRule type="duplicateValues" dxfId="1446" priority="1476"/>
    <cfRule type="duplicateValues" dxfId="1445" priority="1477"/>
  </conditionalFormatting>
  <conditionalFormatting sqref="C461">
    <cfRule type="duplicateValues" dxfId="1444" priority="1453"/>
    <cfRule type="duplicateValues" dxfId="1443" priority="1454"/>
    <cfRule type="duplicateValues" dxfId="1442" priority="1455"/>
  </conditionalFormatting>
  <conditionalFormatting sqref="C461:C466">
    <cfRule type="duplicateValues" dxfId="1441" priority="1451"/>
    <cfRule type="duplicateValues" dxfId="1440" priority="1456"/>
    <cfRule type="duplicateValues" dxfId="1439" priority="1457"/>
    <cfRule type="duplicateValues" dxfId="1438" priority="1458"/>
    <cfRule type="duplicateValues" dxfId="1437" priority="1459"/>
    <cfRule type="duplicateValues" dxfId="1436" priority="1460"/>
    <cfRule type="duplicateValues" dxfId="1435" priority="1461"/>
    <cfRule type="duplicateValues" dxfId="1434" priority="1462"/>
    <cfRule type="duplicateValues" dxfId="1433" priority="1463"/>
  </conditionalFormatting>
  <conditionalFormatting sqref="C462:C466">
    <cfRule type="duplicateValues" dxfId="1432" priority="1447"/>
    <cfRule type="duplicateValues" dxfId="1431" priority="1448"/>
    <cfRule type="duplicateValues" dxfId="1430" priority="1449"/>
  </conditionalFormatting>
  <conditionalFormatting sqref="C467">
    <cfRule type="duplicateValues" dxfId="1429" priority="1413"/>
    <cfRule type="duplicateValues" dxfId="1428" priority="1415"/>
    <cfRule type="duplicateValues" dxfId="1427" priority="1416"/>
    <cfRule type="duplicateValues" dxfId="1426" priority="1417"/>
    <cfRule type="duplicateValues" dxfId="1425" priority="1419"/>
    <cfRule type="duplicateValues" dxfId="1424" priority="1420"/>
    <cfRule type="duplicateValues" dxfId="1423" priority="1421"/>
    <cfRule type="duplicateValues" dxfId="1422" priority="1422"/>
    <cfRule type="duplicateValues" dxfId="1421" priority="1423"/>
    <cfRule type="duplicateValues" dxfId="1420" priority="1424"/>
    <cfRule type="duplicateValues" dxfId="1419" priority="1425"/>
    <cfRule type="duplicateValues" dxfId="1418" priority="1426"/>
  </conditionalFormatting>
  <conditionalFormatting sqref="C468">
    <cfRule type="duplicateValues" dxfId="1417" priority="1395"/>
    <cfRule type="duplicateValues" dxfId="1416" priority="1397"/>
    <cfRule type="duplicateValues" dxfId="1415" priority="1398"/>
    <cfRule type="duplicateValues" dxfId="1414" priority="1399"/>
    <cfRule type="duplicateValues" dxfId="1413" priority="1400"/>
    <cfRule type="duplicateValues" dxfId="1412" priority="1401"/>
    <cfRule type="duplicateValues" dxfId="1411" priority="1402"/>
    <cfRule type="duplicateValues" dxfId="1410" priority="1403"/>
    <cfRule type="duplicateValues" dxfId="1409" priority="1404"/>
    <cfRule type="duplicateValues" dxfId="1408" priority="1405"/>
    <cfRule type="duplicateValues" dxfId="1407" priority="1406"/>
    <cfRule type="duplicateValues" dxfId="1406" priority="1407"/>
    <cfRule type="duplicateValues" dxfId="1405" priority="1408"/>
    <cfRule type="duplicateValues" dxfId="1404" priority="1409"/>
    <cfRule type="duplicateValues" dxfId="1403" priority="1410"/>
    <cfRule type="duplicateValues" dxfId="1402" priority="1411"/>
    <cfRule type="duplicateValues" dxfId="1401" priority="1412"/>
  </conditionalFormatting>
  <conditionalFormatting sqref="C469:C475">
    <cfRule type="duplicateValues" dxfId="1400" priority="1377"/>
    <cfRule type="duplicateValues" dxfId="1399" priority="1380"/>
    <cfRule type="duplicateValues" dxfId="1398" priority="1381"/>
    <cfRule type="duplicateValues" dxfId="1397" priority="1382"/>
    <cfRule type="duplicateValues" dxfId="1396" priority="1383"/>
    <cfRule type="duplicateValues" dxfId="1395" priority="1384"/>
    <cfRule type="duplicateValues" dxfId="1394" priority="1385"/>
    <cfRule type="duplicateValues" dxfId="1393" priority="1386"/>
    <cfRule type="duplicateValues" dxfId="1392" priority="1387"/>
    <cfRule type="duplicateValues" dxfId="1391" priority="1388"/>
    <cfRule type="duplicateValues" dxfId="1390" priority="1389"/>
    <cfRule type="duplicateValues" dxfId="1389" priority="1390"/>
    <cfRule type="duplicateValues" dxfId="1388" priority="1391"/>
    <cfRule type="duplicateValues" dxfId="1387" priority="1392"/>
    <cfRule type="duplicateValues" dxfId="1386" priority="1393"/>
    <cfRule type="duplicateValues" dxfId="1385" priority="1394"/>
  </conditionalFormatting>
  <conditionalFormatting sqref="C476:C491">
    <cfRule type="duplicateValues" dxfId="1384" priority="1357"/>
    <cfRule type="duplicateValues" dxfId="1383" priority="1359"/>
    <cfRule type="duplicateValues" dxfId="1382" priority="1360"/>
    <cfRule type="duplicateValues" dxfId="1381" priority="1361"/>
    <cfRule type="duplicateValues" dxfId="1380" priority="1362"/>
    <cfRule type="duplicateValues" dxfId="1379" priority="1363"/>
    <cfRule type="duplicateValues" dxfId="1378" priority="1364"/>
    <cfRule type="duplicateValues" dxfId="1377" priority="1365"/>
    <cfRule type="duplicateValues" dxfId="1376" priority="1366"/>
    <cfRule type="duplicateValues" dxfId="1375" priority="1367"/>
    <cfRule type="duplicateValues" dxfId="1374" priority="1368"/>
    <cfRule type="duplicateValues" dxfId="1373" priority="1369"/>
    <cfRule type="duplicateValues" dxfId="1372" priority="1370"/>
    <cfRule type="duplicateValues" dxfId="1371" priority="1371"/>
    <cfRule type="duplicateValues" dxfId="1370" priority="1372"/>
    <cfRule type="duplicateValues" dxfId="1369" priority="1373"/>
    <cfRule type="duplicateValues" dxfId="1368" priority="1374"/>
    <cfRule type="duplicateValues" dxfId="1367" priority="1375"/>
  </conditionalFormatting>
  <conditionalFormatting sqref="C492:C520">
    <cfRule type="duplicateValues" dxfId="1366" priority="1337"/>
    <cfRule type="duplicateValues" dxfId="1365" priority="1338"/>
    <cfRule type="duplicateValues" dxfId="1364" priority="1339"/>
    <cfRule type="duplicateValues" dxfId="1363" priority="1340"/>
    <cfRule type="duplicateValues" dxfId="1362" priority="1341"/>
    <cfRule type="duplicateValues" dxfId="1361" priority="1342"/>
    <cfRule type="duplicateValues" dxfId="1360" priority="1343"/>
    <cfRule type="duplicateValues" dxfId="1359" priority="1344"/>
    <cfRule type="duplicateValues" dxfId="1358" priority="1345"/>
    <cfRule type="duplicateValues" dxfId="1357" priority="1346"/>
    <cfRule type="duplicateValues" dxfId="1356" priority="1347"/>
  </conditionalFormatting>
  <conditionalFormatting sqref="C492:C521">
    <cfRule type="duplicateValues" dxfId="1355" priority="1334"/>
    <cfRule type="duplicateValues" dxfId="1354" priority="1348"/>
    <cfRule type="duplicateValues" dxfId="1353" priority="1349"/>
    <cfRule type="duplicateValues" dxfId="1352" priority="1350"/>
    <cfRule type="duplicateValues" dxfId="1351" priority="1351"/>
    <cfRule type="duplicateValues" dxfId="1350" priority="1352"/>
    <cfRule type="duplicateValues" dxfId="1349" priority="1353"/>
  </conditionalFormatting>
  <conditionalFormatting sqref="C521">
    <cfRule type="duplicateValues" dxfId="1348" priority="1322"/>
    <cfRule type="duplicateValues" dxfId="1347" priority="1323"/>
    <cfRule type="duplicateValues" dxfId="1346" priority="1324"/>
    <cfRule type="duplicateValues" dxfId="1345" priority="1325"/>
    <cfRule type="duplicateValues" dxfId="1344" priority="1326"/>
    <cfRule type="duplicateValues" dxfId="1343" priority="1327"/>
    <cfRule type="duplicateValues" dxfId="1342" priority="1328"/>
    <cfRule type="duplicateValues" dxfId="1341" priority="1329"/>
    <cfRule type="duplicateValues" dxfId="1340" priority="1330"/>
    <cfRule type="duplicateValues" dxfId="1339" priority="1331"/>
    <cfRule type="duplicateValues" dxfId="1338" priority="1332"/>
  </conditionalFormatting>
  <conditionalFormatting sqref="C522">
    <cfRule type="duplicateValues" dxfId="1337" priority="1290"/>
    <cfRule type="duplicateValues" dxfId="1336" priority="1291"/>
    <cfRule type="duplicateValues" dxfId="1335" priority="1292"/>
    <cfRule type="duplicateValues" dxfId="1334" priority="1293"/>
    <cfRule type="duplicateValues" dxfId="1333" priority="1294"/>
    <cfRule type="duplicateValues" dxfId="1332" priority="1295"/>
    <cfRule type="duplicateValues" dxfId="1331" priority="1296"/>
    <cfRule type="duplicateValues" dxfId="1330" priority="1297"/>
    <cfRule type="duplicateValues" dxfId="1329" priority="1298"/>
    <cfRule type="duplicateValues" dxfId="1328" priority="1299"/>
    <cfRule type="duplicateValues" dxfId="1327" priority="1300"/>
    <cfRule type="duplicateValues" dxfId="1326" priority="1301"/>
    <cfRule type="duplicateValues" dxfId="1325" priority="1302"/>
    <cfRule type="duplicateValues" dxfId="1324" priority="1303"/>
    <cfRule type="duplicateValues" dxfId="1323" priority="1304"/>
    <cfRule type="duplicateValues" dxfId="1322" priority="1305"/>
    <cfRule type="duplicateValues" dxfId="1321" priority="1306"/>
  </conditionalFormatting>
  <conditionalFormatting sqref="C522:C531">
    <cfRule type="duplicateValues" dxfId="1320" priority="1307"/>
    <cfRule type="duplicateValues" dxfId="1319" priority="1308"/>
    <cfRule type="duplicateValues" dxfId="1318" priority="1309"/>
    <cfRule type="duplicateValues" dxfId="1317" priority="1310"/>
    <cfRule type="duplicateValues" dxfId="1316" priority="1311"/>
    <cfRule type="duplicateValues" dxfId="1315" priority="1312"/>
    <cfRule type="duplicateValues" dxfId="1314" priority="1313"/>
    <cfRule type="duplicateValues" dxfId="1313" priority="1314"/>
  </conditionalFormatting>
  <conditionalFormatting sqref="C522:C532">
    <cfRule type="duplicateValues" dxfId="1312" priority="1288"/>
    <cfRule type="duplicateValues" dxfId="1311" priority="1315"/>
    <cfRule type="duplicateValues" dxfId="1310" priority="1316"/>
    <cfRule type="duplicateValues" dxfId="1309" priority="1317"/>
    <cfRule type="duplicateValues" dxfId="1308" priority="1318"/>
    <cfRule type="duplicateValues" dxfId="1307" priority="1319"/>
    <cfRule type="duplicateValues" dxfId="1306" priority="1320"/>
  </conditionalFormatting>
  <conditionalFormatting sqref="C523">
    <cfRule type="duplicateValues" dxfId="1305" priority="1285"/>
    <cfRule type="duplicateValues" dxfId="1304" priority="1286"/>
    <cfRule type="duplicateValues" dxfId="1303" priority="1287"/>
  </conditionalFormatting>
  <conditionalFormatting sqref="C524:C531">
    <cfRule type="duplicateValues" dxfId="1302" priority="1282"/>
    <cfRule type="duplicateValues" dxfId="1301" priority="1283"/>
    <cfRule type="duplicateValues" dxfId="1300" priority="1284"/>
  </conditionalFormatting>
  <conditionalFormatting sqref="C532">
    <cfRule type="duplicateValues" dxfId="1299" priority="1269"/>
    <cfRule type="duplicateValues" dxfId="1298" priority="1270"/>
    <cfRule type="duplicateValues" dxfId="1297" priority="1271"/>
    <cfRule type="duplicateValues" dxfId="1296" priority="1272"/>
    <cfRule type="duplicateValues" dxfId="1295" priority="1273"/>
    <cfRule type="duplicateValues" dxfId="1294" priority="1274"/>
    <cfRule type="duplicateValues" dxfId="1293" priority="1275"/>
    <cfRule type="duplicateValues" dxfId="1292" priority="1276"/>
    <cfRule type="duplicateValues" dxfId="1291" priority="1277"/>
    <cfRule type="duplicateValues" dxfId="1290" priority="1278"/>
    <cfRule type="duplicateValues" dxfId="1289" priority="1279"/>
  </conditionalFormatting>
  <conditionalFormatting sqref="C533:C537">
    <cfRule type="duplicateValues" dxfId="1288" priority="1252"/>
    <cfRule type="duplicateValues" dxfId="1287" priority="1253"/>
    <cfRule type="duplicateValues" dxfId="1286" priority="1254"/>
    <cfRule type="duplicateValues" dxfId="1285" priority="1255"/>
    <cfRule type="duplicateValues" dxfId="1284" priority="1256"/>
    <cfRule type="duplicateValues" dxfId="1283" priority="1257"/>
    <cfRule type="duplicateValues" dxfId="1282" priority="1258"/>
    <cfRule type="duplicateValues" dxfId="1281" priority="1259"/>
    <cfRule type="duplicateValues" dxfId="1280" priority="1260"/>
    <cfRule type="duplicateValues" dxfId="1279" priority="1261"/>
    <cfRule type="duplicateValues" dxfId="1278" priority="1262"/>
  </conditionalFormatting>
  <conditionalFormatting sqref="C533:C538">
    <cfRule type="duplicateValues" dxfId="1277" priority="1249"/>
    <cfRule type="duplicateValues" dxfId="1276" priority="1263"/>
    <cfRule type="duplicateValues" dxfId="1275" priority="1264"/>
    <cfRule type="duplicateValues" dxfId="1274" priority="1265"/>
    <cfRule type="duplicateValues" dxfId="1273" priority="1266"/>
    <cfRule type="duplicateValues" dxfId="1272" priority="1267"/>
    <cfRule type="duplicateValues" dxfId="1271" priority="1268"/>
  </conditionalFormatting>
  <conditionalFormatting sqref="C538">
    <cfRule type="duplicateValues" dxfId="1270" priority="1236"/>
    <cfRule type="duplicateValues" dxfId="1269" priority="1237"/>
    <cfRule type="duplicateValues" dxfId="1268" priority="1238"/>
    <cfRule type="duplicateValues" dxfId="1267" priority="1239"/>
    <cfRule type="duplicateValues" dxfId="1266" priority="1240"/>
    <cfRule type="duplicateValues" dxfId="1265" priority="1241"/>
    <cfRule type="duplicateValues" dxfId="1264" priority="1242"/>
    <cfRule type="duplicateValues" dxfId="1263" priority="1243"/>
    <cfRule type="duplicateValues" dxfId="1262" priority="1244"/>
    <cfRule type="duplicateValues" dxfId="1261" priority="1245"/>
    <cfRule type="duplicateValues" dxfId="1260" priority="1246"/>
  </conditionalFormatting>
  <conditionalFormatting sqref="C539:C544">
    <cfRule type="duplicateValues" dxfId="1259" priority="1219"/>
    <cfRule type="duplicateValues" dxfId="1258" priority="1220"/>
    <cfRule type="duplicateValues" dxfId="1257" priority="1221"/>
    <cfRule type="duplicateValues" dxfId="1256" priority="1222"/>
    <cfRule type="duplicateValues" dxfId="1255" priority="1223"/>
    <cfRule type="duplicateValues" dxfId="1254" priority="1224"/>
    <cfRule type="duplicateValues" dxfId="1253" priority="1225"/>
    <cfRule type="duplicateValues" dxfId="1252" priority="1226"/>
    <cfRule type="duplicateValues" dxfId="1251" priority="1227"/>
    <cfRule type="duplicateValues" dxfId="1250" priority="1228"/>
    <cfRule type="duplicateValues" dxfId="1249" priority="1229"/>
  </conditionalFormatting>
  <conditionalFormatting sqref="C539:C545">
    <cfRule type="duplicateValues" dxfId="1248" priority="1217"/>
    <cfRule type="duplicateValues" dxfId="1247" priority="1230"/>
    <cfRule type="duplicateValues" dxfId="1246" priority="1231"/>
    <cfRule type="duplicateValues" dxfId="1245" priority="1232"/>
    <cfRule type="duplicateValues" dxfId="1244" priority="1233"/>
    <cfRule type="duplicateValues" dxfId="1243" priority="1234"/>
    <cfRule type="duplicateValues" dxfId="1242" priority="1235"/>
  </conditionalFormatting>
  <conditionalFormatting sqref="C545">
    <cfRule type="duplicateValues" dxfId="1241" priority="1204"/>
    <cfRule type="duplicateValues" dxfId="1240" priority="1205"/>
    <cfRule type="duplicateValues" dxfId="1239" priority="1206"/>
    <cfRule type="duplicateValues" dxfId="1238" priority="1207"/>
    <cfRule type="duplicateValues" dxfId="1237" priority="1208"/>
    <cfRule type="duplicateValues" dxfId="1236" priority="1209"/>
    <cfRule type="duplicateValues" dxfId="1235" priority="1210"/>
    <cfRule type="duplicateValues" dxfId="1234" priority="1211"/>
    <cfRule type="duplicateValues" dxfId="1233" priority="1212"/>
    <cfRule type="duplicateValues" dxfId="1232" priority="1213"/>
    <cfRule type="duplicateValues" dxfId="1231" priority="1214"/>
  </conditionalFormatting>
  <conditionalFormatting sqref="C546:C548">
    <cfRule type="duplicateValues" dxfId="1230" priority="1184"/>
    <cfRule type="duplicateValues" dxfId="1229" priority="1187"/>
    <cfRule type="duplicateValues" dxfId="1228" priority="1188"/>
    <cfRule type="duplicateValues" dxfId="1227" priority="1189"/>
    <cfRule type="duplicateValues" dxfId="1226" priority="1190"/>
    <cfRule type="duplicateValues" dxfId="1225" priority="1191"/>
    <cfRule type="duplicateValues" dxfId="1224" priority="1192"/>
    <cfRule type="duplicateValues" dxfId="1223" priority="1193"/>
    <cfRule type="duplicateValues" dxfId="1222" priority="1194"/>
    <cfRule type="duplicateValues" dxfId="1221" priority="1195"/>
    <cfRule type="duplicateValues" dxfId="1220" priority="1196"/>
    <cfRule type="duplicateValues" dxfId="1219" priority="1197"/>
    <cfRule type="duplicateValues" dxfId="1218" priority="1198"/>
    <cfRule type="duplicateValues" dxfId="1217" priority="1199"/>
    <cfRule type="duplicateValues" dxfId="1216" priority="1200"/>
    <cfRule type="duplicateValues" dxfId="1215" priority="1201"/>
    <cfRule type="duplicateValues" dxfId="1214" priority="1202"/>
    <cfRule type="duplicateValues" dxfId="1213" priority="1203"/>
  </conditionalFormatting>
  <conditionalFormatting sqref="C549">
    <cfRule type="duplicateValues" dxfId="1212" priority="1167"/>
    <cfRule type="duplicateValues" dxfId="1211" priority="1168"/>
    <cfRule type="duplicateValues" dxfId="1210" priority="1169"/>
  </conditionalFormatting>
  <conditionalFormatting sqref="C549:C555">
    <cfRule type="duplicateValues" dxfId="1209" priority="1170"/>
    <cfRule type="duplicateValues" dxfId="1208" priority="1171"/>
    <cfRule type="duplicateValues" dxfId="1207" priority="1172"/>
    <cfRule type="duplicateValues" dxfId="1206" priority="1173"/>
    <cfRule type="duplicateValues" dxfId="1205" priority="1174"/>
    <cfRule type="duplicateValues" dxfId="1204" priority="1175"/>
    <cfRule type="duplicateValues" dxfId="1203" priority="1176"/>
    <cfRule type="duplicateValues" dxfId="1202" priority="1177"/>
  </conditionalFormatting>
  <conditionalFormatting sqref="C549:C560">
    <cfRule type="duplicateValues" dxfId="1201" priority="1165"/>
    <cfRule type="duplicateValues" dxfId="1200" priority="1178"/>
    <cfRule type="duplicateValues" dxfId="1199" priority="1179"/>
    <cfRule type="duplicateValues" dxfId="1198" priority="1180"/>
    <cfRule type="duplicateValues" dxfId="1197" priority="1181"/>
    <cfRule type="duplicateValues" dxfId="1196" priority="1182"/>
    <cfRule type="duplicateValues" dxfId="1195" priority="1183"/>
  </conditionalFormatting>
  <conditionalFormatting sqref="C550:C555">
    <cfRule type="duplicateValues" dxfId="1194" priority="1162"/>
    <cfRule type="duplicateValues" dxfId="1193" priority="1163"/>
    <cfRule type="duplicateValues" dxfId="1192" priority="1164"/>
  </conditionalFormatting>
  <conditionalFormatting sqref="C556:C560">
    <cfRule type="duplicateValues" dxfId="1191" priority="1148"/>
    <cfRule type="duplicateValues" dxfId="1190" priority="1149"/>
    <cfRule type="duplicateValues" dxfId="1189" priority="1150"/>
    <cfRule type="duplicateValues" dxfId="1188" priority="1151"/>
    <cfRule type="duplicateValues" dxfId="1187" priority="1152"/>
    <cfRule type="duplicateValues" dxfId="1186" priority="1153"/>
    <cfRule type="duplicateValues" dxfId="1185" priority="1154"/>
    <cfRule type="duplicateValues" dxfId="1184" priority="1155"/>
    <cfRule type="duplicateValues" dxfId="1183" priority="1156"/>
    <cfRule type="duplicateValues" dxfId="1182" priority="1157"/>
    <cfRule type="duplicateValues" dxfId="1181" priority="1158"/>
  </conditionalFormatting>
  <conditionalFormatting sqref="C561:C562">
    <cfRule type="duplicateValues" dxfId="1180" priority="1131"/>
    <cfRule type="duplicateValues" dxfId="1179" priority="1132"/>
    <cfRule type="duplicateValues" dxfId="1178" priority="1133"/>
    <cfRule type="duplicateValues" dxfId="1177" priority="1134"/>
    <cfRule type="duplicateValues" dxfId="1176" priority="1135"/>
    <cfRule type="duplicateValues" dxfId="1175" priority="1136"/>
    <cfRule type="duplicateValues" dxfId="1174" priority="1137"/>
    <cfRule type="duplicateValues" dxfId="1173" priority="1138"/>
    <cfRule type="duplicateValues" dxfId="1172" priority="1139"/>
    <cfRule type="duplicateValues" dxfId="1171" priority="1140"/>
    <cfRule type="duplicateValues" dxfId="1170" priority="1141"/>
  </conditionalFormatting>
  <conditionalFormatting sqref="C561:C563">
    <cfRule type="duplicateValues" dxfId="1169" priority="1128"/>
    <cfRule type="duplicateValues" dxfId="1168" priority="1142"/>
    <cfRule type="duplicateValues" dxfId="1167" priority="1143"/>
    <cfRule type="duplicateValues" dxfId="1166" priority="1144"/>
    <cfRule type="duplicateValues" dxfId="1165" priority="1145"/>
    <cfRule type="duplicateValues" dxfId="1164" priority="1146"/>
    <cfRule type="duplicateValues" dxfId="1163" priority="1147"/>
  </conditionalFormatting>
  <conditionalFormatting sqref="C563">
    <cfRule type="duplicateValues" dxfId="1162" priority="1116"/>
    <cfRule type="duplicateValues" dxfId="1161" priority="1117"/>
    <cfRule type="duplicateValues" dxfId="1160" priority="1118"/>
    <cfRule type="duplicateValues" dxfId="1159" priority="1119"/>
    <cfRule type="duplicateValues" dxfId="1158" priority="1120"/>
    <cfRule type="duplicateValues" dxfId="1157" priority="1121"/>
    <cfRule type="duplicateValues" dxfId="1156" priority="1122"/>
    <cfRule type="duplicateValues" dxfId="1155" priority="1123"/>
    <cfRule type="duplicateValues" dxfId="1154" priority="1124"/>
    <cfRule type="duplicateValues" dxfId="1153" priority="1125"/>
    <cfRule type="duplicateValues" dxfId="1152" priority="1126"/>
  </conditionalFormatting>
  <conditionalFormatting sqref="C564:C566">
    <cfRule type="duplicateValues" dxfId="1151" priority="1099"/>
    <cfRule type="duplicateValues" dxfId="1150" priority="1100"/>
    <cfRule type="duplicateValues" dxfId="1149" priority="1101"/>
    <cfRule type="duplicateValues" dxfId="1148" priority="1102"/>
    <cfRule type="duplicateValues" dxfId="1147" priority="1103"/>
    <cfRule type="duplicateValues" dxfId="1146" priority="1104"/>
    <cfRule type="duplicateValues" dxfId="1145" priority="1105"/>
    <cfRule type="duplicateValues" dxfId="1144" priority="1106"/>
    <cfRule type="duplicateValues" dxfId="1143" priority="1107"/>
    <cfRule type="duplicateValues" dxfId="1142" priority="1108"/>
    <cfRule type="duplicateValues" dxfId="1141" priority="1109"/>
  </conditionalFormatting>
  <conditionalFormatting sqref="C564:C567">
    <cfRule type="duplicateValues" dxfId="1140" priority="1096"/>
    <cfRule type="duplicateValues" dxfId="1139" priority="1110"/>
    <cfRule type="duplicateValues" dxfId="1138" priority="1111"/>
    <cfRule type="duplicateValues" dxfId="1137" priority="1112"/>
    <cfRule type="duplicateValues" dxfId="1136" priority="1113"/>
    <cfRule type="duplicateValues" dxfId="1135" priority="1114"/>
    <cfRule type="duplicateValues" dxfId="1134" priority="1115"/>
  </conditionalFormatting>
  <conditionalFormatting sqref="C567">
    <cfRule type="duplicateValues" dxfId="1133" priority="1083"/>
    <cfRule type="duplicateValues" dxfId="1132" priority="1084"/>
    <cfRule type="duplicateValues" dxfId="1131" priority="1085"/>
    <cfRule type="duplicateValues" dxfId="1130" priority="1086"/>
    <cfRule type="duplicateValues" dxfId="1129" priority="1087"/>
    <cfRule type="duplicateValues" dxfId="1128" priority="1088"/>
    <cfRule type="duplicateValues" dxfId="1127" priority="1089"/>
    <cfRule type="duplicateValues" dxfId="1126" priority="1090"/>
    <cfRule type="duplicateValues" dxfId="1125" priority="1091"/>
    <cfRule type="duplicateValues" dxfId="1124" priority="1092"/>
    <cfRule type="duplicateValues" dxfId="1123" priority="1093"/>
  </conditionalFormatting>
  <conditionalFormatting sqref="C568:C571">
    <cfRule type="duplicateValues" dxfId="1122" priority="1066"/>
    <cfRule type="duplicateValues" dxfId="1121" priority="1067"/>
    <cfRule type="duplicateValues" dxfId="1120" priority="1068"/>
    <cfRule type="duplicateValues" dxfId="1119" priority="1069"/>
    <cfRule type="duplicateValues" dxfId="1118" priority="1070"/>
    <cfRule type="duplicateValues" dxfId="1117" priority="1071"/>
    <cfRule type="duplicateValues" dxfId="1116" priority="1072"/>
    <cfRule type="duplicateValues" dxfId="1115" priority="1073"/>
    <cfRule type="duplicateValues" dxfId="1114" priority="1074"/>
    <cfRule type="duplicateValues" dxfId="1113" priority="1075"/>
    <cfRule type="duplicateValues" dxfId="1112" priority="1076"/>
  </conditionalFormatting>
  <conditionalFormatting sqref="C568:C572">
    <cfRule type="duplicateValues" dxfId="1111" priority="1063"/>
    <cfRule type="duplicateValues" dxfId="1110" priority="1077"/>
    <cfRule type="duplicateValues" dxfId="1109" priority="1078"/>
    <cfRule type="duplicateValues" dxfId="1108" priority="1079"/>
    <cfRule type="duplicateValues" dxfId="1107" priority="1080"/>
    <cfRule type="duplicateValues" dxfId="1106" priority="1081"/>
    <cfRule type="duplicateValues" dxfId="1105" priority="1082"/>
  </conditionalFormatting>
  <conditionalFormatting sqref="C572">
    <cfRule type="duplicateValues" dxfId="1104" priority="1051"/>
    <cfRule type="duplicateValues" dxfId="1103" priority="1052"/>
    <cfRule type="duplicateValues" dxfId="1102" priority="1053"/>
    <cfRule type="duplicateValues" dxfId="1101" priority="1054"/>
    <cfRule type="duplicateValues" dxfId="1100" priority="1055"/>
    <cfRule type="duplicateValues" dxfId="1099" priority="1056"/>
    <cfRule type="duplicateValues" dxfId="1098" priority="1057"/>
    <cfRule type="duplicateValues" dxfId="1097" priority="1058"/>
    <cfRule type="duplicateValues" dxfId="1096" priority="1059"/>
    <cfRule type="duplicateValues" dxfId="1095" priority="1060"/>
    <cfRule type="duplicateValues" dxfId="1094" priority="1061"/>
  </conditionalFormatting>
  <conditionalFormatting sqref="C573:C574">
    <cfRule type="duplicateValues" dxfId="1093" priority="1034"/>
    <cfRule type="duplicateValues" dxfId="1092" priority="1035"/>
    <cfRule type="duplicateValues" dxfId="1091" priority="1036"/>
    <cfRule type="duplicateValues" dxfId="1090" priority="1037"/>
    <cfRule type="duplicateValues" dxfId="1089" priority="1038"/>
    <cfRule type="duplicateValues" dxfId="1088" priority="1039"/>
    <cfRule type="duplicateValues" dxfId="1087" priority="1040"/>
    <cfRule type="duplicateValues" dxfId="1086" priority="1041"/>
    <cfRule type="duplicateValues" dxfId="1085" priority="1042"/>
    <cfRule type="duplicateValues" dxfId="1084" priority="1043"/>
    <cfRule type="duplicateValues" dxfId="1083" priority="1044"/>
  </conditionalFormatting>
  <conditionalFormatting sqref="C573:C576">
    <cfRule type="duplicateValues" dxfId="1082" priority="1031"/>
    <cfRule type="duplicateValues" dxfId="1081" priority="1045"/>
    <cfRule type="duplicateValues" dxfId="1080" priority="1046"/>
    <cfRule type="duplicateValues" dxfId="1079" priority="1047"/>
    <cfRule type="duplicateValues" dxfId="1078" priority="1048"/>
    <cfRule type="duplicateValues" dxfId="1077" priority="1049"/>
    <cfRule type="duplicateValues" dxfId="1076" priority="1050"/>
  </conditionalFormatting>
  <conditionalFormatting sqref="C575:C576">
    <cfRule type="duplicateValues" dxfId="1075" priority="1019"/>
    <cfRule type="duplicateValues" dxfId="1074" priority="1020"/>
    <cfRule type="duplicateValues" dxfId="1073" priority="1021"/>
    <cfRule type="duplicateValues" dxfId="1072" priority="1022"/>
    <cfRule type="duplicateValues" dxfId="1071" priority="1023"/>
    <cfRule type="duplicateValues" dxfId="1070" priority="1024"/>
    <cfRule type="duplicateValues" dxfId="1069" priority="1025"/>
    <cfRule type="duplicateValues" dxfId="1068" priority="1026"/>
    <cfRule type="duplicateValues" dxfId="1067" priority="1027"/>
    <cfRule type="duplicateValues" dxfId="1066" priority="1028"/>
    <cfRule type="duplicateValues" dxfId="1065" priority="1029"/>
  </conditionalFormatting>
  <conditionalFormatting sqref="C577">
    <cfRule type="duplicateValues" dxfId="1064" priority="999"/>
    <cfRule type="duplicateValues" dxfId="1063" priority="1001"/>
    <cfRule type="duplicateValues" dxfId="1062" priority="1002"/>
    <cfRule type="duplicateValues" dxfId="1061" priority="1003"/>
    <cfRule type="duplicateValues" dxfId="1060" priority="1004"/>
    <cfRule type="duplicateValues" dxfId="1059" priority="1005"/>
    <cfRule type="duplicateValues" dxfId="1058" priority="1006"/>
    <cfRule type="duplicateValues" dxfId="1057" priority="1007"/>
    <cfRule type="duplicateValues" dxfId="1056" priority="1008"/>
    <cfRule type="duplicateValues" dxfId="1055" priority="1009"/>
    <cfRule type="duplicateValues" dxfId="1054" priority="1010"/>
    <cfRule type="duplicateValues" dxfId="1053" priority="1011"/>
    <cfRule type="duplicateValues" dxfId="1052" priority="1013"/>
    <cfRule type="duplicateValues" dxfId="1051" priority="1014"/>
    <cfRule type="duplicateValues" dxfId="1050" priority="1015"/>
    <cfRule type="duplicateValues" dxfId="1049" priority="1016"/>
    <cfRule type="duplicateValues" dxfId="1048" priority="1017"/>
    <cfRule type="duplicateValues" dxfId="1047" priority="1018"/>
  </conditionalFormatting>
  <conditionalFormatting sqref="C578">
    <cfRule type="duplicateValues" dxfId="1046" priority="979"/>
    <cfRule type="duplicateValues" dxfId="1045" priority="981"/>
    <cfRule type="duplicateValues" dxfId="1044" priority="982"/>
    <cfRule type="duplicateValues" dxfId="1043" priority="983"/>
    <cfRule type="duplicateValues" dxfId="1042" priority="984"/>
    <cfRule type="duplicateValues" dxfId="1041" priority="985"/>
    <cfRule type="duplicateValues" dxfId="1040" priority="986"/>
    <cfRule type="duplicateValues" dxfId="1039" priority="987"/>
    <cfRule type="duplicateValues" dxfId="1038" priority="988"/>
    <cfRule type="duplicateValues" dxfId="1037" priority="989"/>
    <cfRule type="duplicateValues" dxfId="1036" priority="990"/>
    <cfRule type="duplicateValues" dxfId="1035" priority="991"/>
    <cfRule type="duplicateValues" dxfId="1034" priority="992"/>
    <cfRule type="duplicateValues" dxfId="1033" priority="993"/>
    <cfRule type="duplicateValues" dxfId="1032" priority="994"/>
    <cfRule type="duplicateValues" dxfId="1031" priority="995"/>
    <cfRule type="duplicateValues" dxfId="1030" priority="996"/>
    <cfRule type="duplicateValues" dxfId="1029" priority="997"/>
  </conditionalFormatting>
  <conditionalFormatting sqref="C579">
    <cfRule type="duplicateValues" dxfId="1028" priority="961"/>
    <cfRule type="duplicateValues" dxfId="1027" priority="962"/>
    <cfRule type="duplicateValues" dxfId="1026" priority="963"/>
    <cfRule type="duplicateValues" dxfId="1025" priority="964"/>
    <cfRule type="duplicateValues" dxfId="1024" priority="965"/>
    <cfRule type="duplicateValues" dxfId="1023" priority="966"/>
    <cfRule type="duplicateValues" dxfId="1022" priority="967"/>
    <cfRule type="duplicateValues" dxfId="1021" priority="968"/>
    <cfRule type="duplicateValues" dxfId="1020" priority="975"/>
    <cfRule type="duplicateValues" dxfId="1019" priority="976"/>
    <cfRule type="duplicateValues" dxfId="1018" priority="977"/>
  </conditionalFormatting>
  <conditionalFormatting sqref="C579:C580">
    <cfRule type="duplicateValues" dxfId="1017" priority="959"/>
    <cfRule type="duplicateValues" dxfId="1016" priority="969"/>
    <cfRule type="duplicateValues" dxfId="1015" priority="970"/>
    <cfRule type="duplicateValues" dxfId="1014" priority="971"/>
    <cfRule type="duplicateValues" dxfId="1013" priority="972"/>
    <cfRule type="duplicateValues" dxfId="1012" priority="973"/>
    <cfRule type="duplicateValues" dxfId="1011" priority="974"/>
  </conditionalFormatting>
  <conditionalFormatting sqref="C580">
    <cfRule type="duplicateValues" dxfId="1010" priority="947"/>
    <cfRule type="duplicateValues" dxfId="1009" priority="948"/>
    <cfRule type="duplicateValues" dxfId="1008" priority="949"/>
    <cfRule type="duplicateValues" dxfId="1007" priority="950"/>
    <cfRule type="duplicateValues" dxfId="1006" priority="951"/>
    <cfRule type="duplicateValues" dxfId="1005" priority="952"/>
    <cfRule type="duplicateValues" dxfId="1004" priority="953"/>
    <cfRule type="duplicateValues" dxfId="1003" priority="954"/>
    <cfRule type="duplicateValues" dxfId="1002" priority="955"/>
    <cfRule type="duplicateValues" dxfId="1001" priority="956"/>
    <cfRule type="duplicateValues" dxfId="1000" priority="957"/>
  </conditionalFormatting>
  <conditionalFormatting sqref="C581:C582">
    <cfRule type="duplicateValues" dxfId="999" priority="928"/>
    <cfRule type="duplicateValues" dxfId="998" priority="930"/>
    <cfRule type="duplicateValues" dxfId="997" priority="931"/>
    <cfRule type="duplicateValues" dxfId="996" priority="932"/>
    <cfRule type="duplicateValues" dxfId="995" priority="933"/>
    <cfRule type="duplicateValues" dxfId="994" priority="934"/>
    <cfRule type="duplicateValues" dxfId="993" priority="935"/>
    <cfRule type="duplicateValues" dxfId="992" priority="936"/>
    <cfRule type="duplicateValues" dxfId="991" priority="937"/>
    <cfRule type="duplicateValues" dxfId="990" priority="938"/>
    <cfRule type="duplicateValues" dxfId="989" priority="939"/>
    <cfRule type="duplicateValues" dxfId="988" priority="940"/>
    <cfRule type="duplicateValues" dxfId="987" priority="941"/>
    <cfRule type="duplicateValues" dxfId="986" priority="942"/>
    <cfRule type="duplicateValues" dxfId="985" priority="943"/>
    <cfRule type="duplicateValues" dxfId="984" priority="944"/>
    <cfRule type="duplicateValues" dxfId="983" priority="945"/>
    <cfRule type="duplicateValues" dxfId="982" priority="946"/>
  </conditionalFormatting>
  <conditionalFormatting sqref="C583:C584">
    <cfRule type="duplicateValues" dxfId="981" priority="898"/>
    <cfRule type="duplicateValues" dxfId="980" priority="901"/>
    <cfRule type="duplicateValues" dxfId="979" priority="902"/>
    <cfRule type="duplicateValues" dxfId="978" priority="903"/>
    <cfRule type="duplicateValues" dxfId="977" priority="904"/>
    <cfRule type="duplicateValues" dxfId="976" priority="905"/>
    <cfRule type="duplicateValues" dxfId="975" priority="906"/>
    <cfRule type="duplicateValues" dxfId="974" priority="907"/>
    <cfRule type="duplicateValues" dxfId="973" priority="908"/>
    <cfRule type="duplicateValues" dxfId="972" priority="909"/>
    <cfRule type="duplicateValues" dxfId="971" priority="910"/>
    <cfRule type="duplicateValues" dxfId="970" priority="911"/>
    <cfRule type="duplicateValues" dxfId="969" priority="912"/>
    <cfRule type="duplicateValues" dxfId="968" priority="913"/>
    <cfRule type="duplicateValues" dxfId="967" priority="914"/>
    <cfRule type="duplicateValues" dxfId="966" priority="915"/>
    <cfRule type="duplicateValues" dxfId="965" priority="916"/>
    <cfRule type="duplicateValues" dxfId="964" priority="917"/>
    <cfRule type="duplicateValues" dxfId="963" priority="918"/>
  </conditionalFormatting>
  <conditionalFormatting sqref="C583:C593">
    <cfRule type="duplicateValues" dxfId="962" priority="846"/>
  </conditionalFormatting>
  <conditionalFormatting sqref="C585:C587">
    <cfRule type="duplicateValues" dxfId="961" priority="872"/>
    <cfRule type="duplicateValues" dxfId="960" priority="876"/>
    <cfRule type="duplicateValues" dxfId="959" priority="877"/>
    <cfRule type="duplicateValues" dxfId="958" priority="878"/>
    <cfRule type="duplicateValues" dxfId="957" priority="879"/>
    <cfRule type="duplicateValues" dxfId="956" priority="880"/>
    <cfRule type="duplicateValues" dxfId="955" priority="881"/>
    <cfRule type="duplicateValues" dxfId="954" priority="882"/>
    <cfRule type="duplicateValues" dxfId="953" priority="883"/>
    <cfRule type="duplicateValues" dxfId="952" priority="884"/>
    <cfRule type="duplicateValues" dxfId="951" priority="885"/>
    <cfRule type="duplicateValues" dxfId="950" priority="886"/>
    <cfRule type="duplicateValues" dxfId="949" priority="887"/>
    <cfRule type="duplicateValues" dxfId="948" priority="888"/>
    <cfRule type="duplicateValues" dxfId="947" priority="889"/>
    <cfRule type="duplicateValues" dxfId="946" priority="890"/>
    <cfRule type="duplicateValues" dxfId="945" priority="891"/>
    <cfRule type="duplicateValues" dxfId="944" priority="892"/>
    <cfRule type="duplicateValues" dxfId="943" priority="893"/>
    <cfRule type="duplicateValues" dxfId="942" priority="894"/>
    <cfRule type="duplicateValues" dxfId="941" priority="895"/>
  </conditionalFormatting>
  <conditionalFormatting sqref="C588:C593">
    <cfRule type="duplicateValues" dxfId="940" priority="849"/>
    <cfRule type="duplicateValues" dxfId="939" priority="852"/>
    <cfRule type="duplicateValues" dxfId="938" priority="853"/>
    <cfRule type="duplicateValues" dxfId="937" priority="854"/>
    <cfRule type="duplicateValues" dxfId="936" priority="855"/>
    <cfRule type="duplicateValues" dxfId="935" priority="856"/>
    <cfRule type="duplicateValues" dxfId="934" priority="857"/>
    <cfRule type="duplicateValues" dxfId="933" priority="858"/>
    <cfRule type="duplicateValues" dxfId="932" priority="859"/>
    <cfRule type="duplicateValues" dxfId="931" priority="860"/>
    <cfRule type="duplicateValues" dxfId="930" priority="861"/>
    <cfRule type="duplicateValues" dxfId="929" priority="862"/>
    <cfRule type="duplicateValues" dxfId="928" priority="863"/>
    <cfRule type="duplicateValues" dxfId="927" priority="864"/>
    <cfRule type="duplicateValues" dxfId="926" priority="865"/>
    <cfRule type="duplicateValues" dxfId="925" priority="866"/>
    <cfRule type="duplicateValues" dxfId="924" priority="867"/>
    <cfRule type="duplicateValues" dxfId="923" priority="868"/>
    <cfRule type="duplicateValues" dxfId="922" priority="869"/>
    <cfRule type="duplicateValues" dxfId="921" priority="870"/>
    <cfRule type="duplicateValues" dxfId="920" priority="871"/>
  </conditionalFormatting>
  <conditionalFormatting sqref="C594">
    <cfRule type="duplicateValues" dxfId="919" priority="826"/>
    <cfRule type="duplicateValues" dxfId="918" priority="827"/>
    <cfRule type="duplicateValues" dxfId="917" priority="828"/>
  </conditionalFormatting>
  <conditionalFormatting sqref="C594:C596">
    <cfRule type="duplicateValues" dxfId="916" priority="818"/>
    <cfRule type="duplicateValues" dxfId="915" priority="819"/>
    <cfRule type="duplicateValues" dxfId="914" priority="820"/>
    <cfRule type="duplicateValues" dxfId="913" priority="821"/>
    <cfRule type="duplicateValues" dxfId="912" priority="822"/>
    <cfRule type="duplicateValues" dxfId="911" priority="823"/>
    <cfRule type="duplicateValues" dxfId="910" priority="824"/>
    <cfRule type="duplicateValues" dxfId="909" priority="825"/>
  </conditionalFormatting>
  <conditionalFormatting sqref="C594:C601">
    <cfRule type="duplicateValues" dxfId="908" priority="813"/>
    <cfRule type="duplicateValues" dxfId="907" priority="829"/>
    <cfRule type="duplicateValues" dxfId="906" priority="830"/>
    <cfRule type="duplicateValues" dxfId="905" priority="831"/>
    <cfRule type="duplicateValues" dxfId="904" priority="832"/>
    <cfRule type="duplicateValues" dxfId="903" priority="833"/>
    <cfRule type="duplicateValues" dxfId="902" priority="834"/>
    <cfRule type="duplicateValues" dxfId="901" priority="835"/>
    <cfRule type="duplicateValues" dxfId="900" priority="836"/>
    <cfRule type="duplicateValues" dxfId="899" priority="837"/>
    <cfRule type="duplicateValues" dxfId="898" priority="838"/>
    <cfRule type="duplicateValues" dxfId="897" priority="839"/>
    <cfRule type="duplicateValues" dxfId="896" priority="840"/>
  </conditionalFormatting>
  <conditionalFormatting sqref="C595:C596">
    <cfRule type="duplicateValues" dxfId="895" priority="809"/>
    <cfRule type="duplicateValues" dxfId="894" priority="810"/>
    <cfRule type="duplicateValues" dxfId="893" priority="811"/>
  </conditionalFormatting>
  <conditionalFormatting sqref="C597:C601">
    <cfRule type="duplicateValues" dxfId="892" priority="798"/>
    <cfRule type="duplicateValues" dxfId="891" priority="799"/>
    <cfRule type="duplicateValues" dxfId="890" priority="800"/>
    <cfRule type="duplicateValues" dxfId="889" priority="801"/>
    <cfRule type="duplicateValues" dxfId="888" priority="802"/>
    <cfRule type="duplicateValues" dxfId="887" priority="803"/>
    <cfRule type="duplicateValues" dxfId="886" priority="804"/>
    <cfRule type="duplicateValues" dxfId="885" priority="805"/>
    <cfRule type="duplicateValues" dxfId="884" priority="806"/>
    <cfRule type="duplicateValues" dxfId="883" priority="807"/>
    <cfRule type="duplicateValues" dxfId="882" priority="808"/>
  </conditionalFormatting>
  <conditionalFormatting sqref="C602">
    <cfRule type="duplicateValues" dxfId="881" priority="773"/>
    <cfRule type="duplicateValues" dxfId="880" priority="774"/>
    <cfRule type="duplicateValues" dxfId="879" priority="775"/>
    <cfRule type="duplicateValues" dxfId="878" priority="776"/>
    <cfRule type="duplicateValues" dxfId="877" priority="777"/>
    <cfRule type="duplicateValues" dxfId="876" priority="778"/>
    <cfRule type="duplicateValues" dxfId="875" priority="779"/>
    <cfRule type="duplicateValues" dxfId="874" priority="780"/>
    <cfRule type="duplicateValues" dxfId="873" priority="781"/>
    <cfRule type="duplicateValues" dxfId="872" priority="782"/>
    <cfRule type="duplicateValues" dxfId="871" priority="783"/>
  </conditionalFormatting>
  <conditionalFormatting sqref="C602:C607">
    <cfRule type="duplicateValues" dxfId="870" priority="768"/>
    <cfRule type="duplicateValues" dxfId="869" priority="784"/>
    <cfRule type="duplicateValues" dxfId="868" priority="785"/>
    <cfRule type="duplicateValues" dxfId="867" priority="786"/>
    <cfRule type="duplicateValues" dxfId="866" priority="787"/>
    <cfRule type="duplicateValues" dxfId="865" priority="788"/>
    <cfRule type="duplicateValues" dxfId="864" priority="789"/>
    <cfRule type="duplicateValues" dxfId="863" priority="790"/>
    <cfRule type="duplicateValues" dxfId="862" priority="791"/>
    <cfRule type="duplicateValues" dxfId="861" priority="792"/>
    <cfRule type="duplicateValues" dxfId="860" priority="793"/>
  </conditionalFormatting>
  <conditionalFormatting sqref="C603:C607">
    <cfRule type="duplicateValues" dxfId="859" priority="757"/>
    <cfRule type="duplicateValues" dxfId="858" priority="758"/>
    <cfRule type="duplicateValues" dxfId="857" priority="759"/>
    <cfRule type="duplicateValues" dxfId="856" priority="760"/>
    <cfRule type="duplicateValues" dxfId="855" priority="761"/>
    <cfRule type="duplicateValues" dxfId="854" priority="762"/>
    <cfRule type="duplicateValues" dxfId="853" priority="763"/>
    <cfRule type="duplicateValues" dxfId="852" priority="764"/>
    <cfRule type="duplicateValues" dxfId="851" priority="765"/>
    <cfRule type="duplicateValues" dxfId="850" priority="766"/>
    <cfRule type="duplicateValues" dxfId="849" priority="767"/>
  </conditionalFormatting>
  <conditionalFormatting sqref="C608">
    <cfRule type="duplicateValues" dxfId="848" priority="733"/>
    <cfRule type="duplicateValues" dxfId="847" priority="734"/>
    <cfRule type="duplicateValues" dxfId="846" priority="735"/>
    <cfRule type="duplicateValues" dxfId="845" priority="736"/>
    <cfRule type="duplicateValues" dxfId="844" priority="737"/>
    <cfRule type="duplicateValues" dxfId="843" priority="738"/>
    <cfRule type="duplicateValues" dxfId="842" priority="739"/>
    <cfRule type="duplicateValues" dxfId="841" priority="740"/>
    <cfRule type="duplicateValues" dxfId="840" priority="741"/>
    <cfRule type="duplicateValues" dxfId="839" priority="742"/>
    <cfRule type="duplicateValues" dxfId="838" priority="743"/>
  </conditionalFormatting>
  <conditionalFormatting sqref="C608:C612">
    <cfRule type="duplicateValues" dxfId="837" priority="729"/>
    <cfRule type="duplicateValues" dxfId="836" priority="745"/>
    <cfRule type="duplicateValues" dxfId="835" priority="746"/>
    <cfRule type="duplicateValues" dxfId="834" priority="747"/>
    <cfRule type="duplicateValues" dxfId="833" priority="748"/>
    <cfRule type="duplicateValues" dxfId="832" priority="749"/>
    <cfRule type="duplicateValues" dxfId="831" priority="750"/>
    <cfRule type="duplicateValues" dxfId="830" priority="751"/>
    <cfRule type="duplicateValues" dxfId="829" priority="752"/>
    <cfRule type="duplicateValues" dxfId="828" priority="753"/>
    <cfRule type="duplicateValues" dxfId="827" priority="754"/>
  </conditionalFormatting>
  <conditionalFormatting sqref="C609:C612">
    <cfRule type="duplicateValues" dxfId="826" priority="718"/>
    <cfRule type="duplicateValues" dxfId="825" priority="719"/>
    <cfRule type="duplicateValues" dxfId="824" priority="720"/>
    <cfRule type="duplicateValues" dxfId="823" priority="721"/>
    <cfRule type="duplicateValues" dxfId="822" priority="722"/>
    <cfRule type="duplicateValues" dxfId="821" priority="723"/>
    <cfRule type="duplicateValues" dxfId="820" priority="724"/>
    <cfRule type="duplicateValues" dxfId="819" priority="725"/>
    <cfRule type="duplicateValues" dxfId="818" priority="726"/>
    <cfRule type="duplicateValues" dxfId="817" priority="727"/>
    <cfRule type="duplicateValues" dxfId="816" priority="728"/>
  </conditionalFormatting>
  <conditionalFormatting sqref="C613:C620">
    <cfRule type="duplicateValues" dxfId="815" priority="689"/>
    <cfRule type="duplicateValues" dxfId="814" priority="694"/>
    <cfRule type="duplicateValues" dxfId="813" priority="695"/>
    <cfRule type="duplicateValues" dxfId="812" priority="696"/>
    <cfRule type="duplicateValues" dxfId="811" priority="697"/>
    <cfRule type="duplicateValues" dxfId="810" priority="698"/>
    <cfRule type="duplicateValues" dxfId="809" priority="699"/>
    <cfRule type="duplicateValues" dxfId="808" priority="700"/>
    <cfRule type="duplicateValues" dxfId="807" priority="701"/>
    <cfRule type="duplicateValues" dxfId="806" priority="702"/>
    <cfRule type="duplicateValues" dxfId="805" priority="703"/>
    <cfRule type="duplicateValues" dxfId="804" priority="704"/>
    <cfRule type="duplicateValues" dxfId="803" priority="705"/>
    <cfRule type="duplicateValues" dxfId="802" priority="706"/>
    <cfRule type="duplicateValues" dxfId="801" priority="707"/>
    <cfRule type="duplicateValues" dxfId="800" priority="708"/>
    <cfRule type="duplicateValues" dxfId="799" priority="709"/>
    <cfRule type="duplicateValues" dxfId="798" priority="710"/>
    <cfRule type="duplicateValues" dxfId="797" priority="711"/>
    <cfRule type="duplicateValues" dxfId="796" priority="712"/>
    <cfRule type="duplicateValues" dxfId="795" priority="713"/>
    <cfRule type="duplicateValues" dxfId="794" priority="714"/>
  </conditionalFormatting>
  <conditionalFormatting sqref="C621:C625">
    <cfRule type="duplicateValues" dxfId="793" priority="637"/>
    <cfRule type="duplicateValues" dxfId="792" priority="642"/>
    <cfRule type="duplicateValues" dxfId="791" priority="643"/>
    <cfRule type="duplicateValues" dxfId="790" priority="644"/>
    <cfRule type="duplicateValues" dxfId="789" priority="645"/>
    <cfRule type="duplicateValues" dxfId="788" priority="646"/>
    <cfRule type="duplicateValues" dxfId="787" priority="647"/>
    <cfRule type="duplicateValues" dxfId="786" priority="648"/>
    <cfRule type="duplicateValues" dxfId="785" priority="649"/>
    <cfRule type="duplicateValues" dxfId="784" priority="650"/>
    <cfRule type="duplicateValues" dxfId="783" priority="651"/>
    <cfRule type="duplicateValues" dxfId="782" priority="652"/>
    <cfRule type="duplicateValues" dxfId="781" priority="653"/>
    <cfRule type="duplicateValues" dxfId="780" priority="654"/>
    <cfRule type="duplicateValues" dxfId="779" priority="655"/>
    <cfRule type="duplicateValues" dxfId="778" priority="656"/>
    <cfRule type="duplicateValues" dxfId="777" priority="657"/>
    <cfRule type="duplicateValues" dxfId="776" priority="658"/>
    <cfRule type="duplicateValues" dxfId="775" priority="659"/>
    <cfRule type="duplicateValues" dxfId="774" priority="660"/>
    <cfRule type="duplicateValues" dxfId="773" priority="661"/>
    <cfRule type="duplicateValues" dxfId="772" priority="662"/>
  </conditionalFormatting>
  <conditionalFormatting sqref="C626">
    <cfRule type="duplicateValues" dxfId="771" priority="614"/>
    <cfRule type="duplicateValues" dxfId="770" priority="615"/>
    <cfRule type="duplicateValues" dxfId="769" priority="616"/>
    <cfRule type="duplicateValues" dxfId="768" priority="617"/>
    <cfRule type="duplicateValues" dxfId="767" priority="618"/>
    <cfRule type="duplicateValues" dxfId="766" priority="619"/>
    <cfRule type="duplicateValues" dxfId="765" priority="620"/>
    <cfRule type="duplicateValues" dxfId="764" priority="621"/>
    <cfRule type="duplicateValues" dxfId="763" priority="622"/>
    <cfRule type="duplicateValues" dxfId="762" priority="623"/>
    <cfRule type="duplicateValues" dxfId="761" priority="624"/>
  </conditionalFormatting>
  <conditionalFormatting sqref="C626:C637">
    <cfRule type="duplicateValues" dxfId="760" priority="609"/>
    <cfRule type="duplicateValues" dxfId="759" priority="625"/>
    <cfRule type="duplicateValues" dxfId="758" priority="626"/>
    <cfRule type="duplicateValues" dxfId="757" priority="627"/>
    <cfRule type="duplicateValues" dxfId="756" priority="628"/>
    <cfRule type="duplicateValues" dxfId="755" priority="629"/>
    <cfRule type="duplicateValues" dxfId="754" priority="630"/>
    <cfRule type="duplicateValues" dxfId="753" priority="631"/>
    <cfRule type="duplicateValues" dxfId="752" priority="632"/>
    <cfRule type="duplicateValues" dxfId="751" priority="633"/>
    <cfRule type="duplicateValues" dxfId="750" priority="634"/>
  </conditionalFormatting>
  <conditionalFormatting sqref="C627:C637">
    <cfRule type="duplicateValues" dxfId="749" priority="598"/>
    <cfRule type="duplicateValues" dxfId="748" priority="599"/>
    <cfRule type="duplicateValues" dxfId="747" priority="600"/>
    <cfRule type="duplicateValues" dxfId="746" priority="601"/>
    <cfRule type="duplicateValues" dxfId="745" priority="602"/>
    <cfRule type="duplicateValues" dxfId="744" priority="603"/>
    <cfRule type="duplicateValues" dxfId="743" priority="604"/>
    <cfRule type="duplicateValues" dxfId="742" priority="605"/>
    <cfRule type="duplicateValues" dxfId="741" priority="606"/>
    <cfRule type="duplicateValues" dxfId="740" priority="607"/>
    <cfRule type="duplicateValues" dxfId="739" priority="608"/>
  </conditionalFormatting>
  <conditionalFormatting sqref="C638:C644">
    <cfRule type="duplicateValues" dxfId="738" priority="570"/>
    <cfRule type="duplicateValues" dxfId="737" priority="574"/>
    <cfRule type="duplicateValues" dxfId="736" priority="575"/>
    <cfRule type="duplicateValues" dxfId="735" priority="576"/>
    <cfRule type="duplicateValues" dxfId="734" priority="577"/>
    <cfRule type="duplicateValues" dxfId="733" priority="578"/>
    <cfRule type="duplicateValues" dxfId="732" priority="579"/>
    <cfRule type="duplicateValues" dxfId="731" priority="580"/>
    <cfRule type="duplicateValues" dxfId="730" priority="581"/>
    <cfRule type="duplicateValues" dxfId="729" priority="582"/>
    <cfRule type="duplicateValues" dxfId="728" priority="583"/>
    <cfRule type="duplicateValues" dxfId="727" priority="584"/>
    <cfRule type="duplicateValues" dxfId="726" priority="586"/>
    <cfRule type="duplicateValues" dxfId="725" priority="587"/>
    <cfRule type="duplicateValues" dxfId="724" priority="588"/>
    <cfRule type="duplicateValues" dxfId="723" priority="589"/>
    <cfRule type="duplicateValues" dxfId="722" priority="590"/>
    <cfRule type="duplicateValues" dxfId="721" priority="591"/>
    <cfRule type="duplicateValues" dxfId="720" priority="592"/>
    <cfRule type="duplicateValues" dxfId="719" priority="593"/>
    <cfRule type="duplicateValues" dxfId="718" priority="594"/>
    <cfRule type="duplicateValues" dxfId="717" priority="595"/>
  </conditionalFormatting>
  <conditionalFormatting sqref="C645">
    <cfRule type="duplicateValues" dxfId="716" priority="543"/>
    <cfRule type="duplicateValues" dxfId="715" priority="547"/>
    <cfRule type="duplicateValues" dxfId="714" priority="548"/>
    <cfRule type="duplicateValues" dxfId="713" priority="549"/>
    <cfRule type="duplicateValues" dxfId="712" priority="550"/>
    <cfRule type="duplicateValues" dxfId="711" priority="551"/>
    <cfRule type="duplicateValues" dxfId="710" priority="552"/>
    <cfRule type="duplicateValues" dxfId="709" priority="553"/>
    <cfRule type="duplicateValues" dxfId="708" priority="554"/>
    <cfRule type="duplicateValues" dxfId="707" priority="555"/>
    <cfRule type="duplicateValues" dxfId="706" priority="556"/>
    <cfRule type="duplicateValues" dxfId="705" priority="557"/>
    <cfRule type="duplicateValues" dxfId="704" priority="558"/>
    <cfRule type="duplicateValues" dxfId="703" priority="559"/>
    <cfRule type="duplicateValues" dxfId="702" priority="560"/>
    <cfRule type="duplicateValues" dxfId="701" priority="561"/>
    <cfRule type="duplicateValues" dxfId="700" priority="562"/>
    <cfRule type="duplicateValues" dxfId="699" priority="563"/>
    <cfRule type="duplicateValues" dxfId="698" priority="564"/>
    <cfRule type="duplicateValues" dxfId="697" priority="565"/>
    <cfRule type="duplicateValues" dxfId="696" priority="566"/>
    <cfRule type="duplicateValues" dxfId="695" priority="567"/>
  </conditionalFormatting>
  <conditionalFormatting sqref="C646">
    <cfRule type="duplicateValues" dxfId="694" priority="521"/>
    <cfRule type="duplicateValues" dxfId="693" priority="522"/>
    <cfRule type="duplicateValues" dxfId="692" priority="523"/>
    <cfRule type="duplicateValues" dxfId="691" priority="524"/>
    <cfRule type="duplicateValues" dxfId="690" priority="525"/>
    <cfRule type="duplicateValues" dxfId="689" priority="526"/>
    <cfRule type="duplicateValues" dxfId="688" priority="527"/>
    <cfRule type="duplicateValues" dxfId="687" priority="528"/>
    <cfRule type="duplicateValues" dxfId="686" priority="529"/>
    <cfRule type="duplicateValues" dxfId="685" priority="530"/>
    <cfRule type="duplicateValues" dxfId="684" priority="531"/>
  </conditionalFormatting>
  <conditionalFormatting sqref="C646:C649">
    <cfRule type="duplicateValues" dxfId="683" priority="516"/>
    <cfRule type="duplicateValues" dxfId="682" priority="517"/>
    <cfRule type="duplicateValues" dxfId="681" priority="533"/>
    <cfRule type="duplicateValues" dxfId="680" priority="534"/>
    <cfRule type="duplicateValues" dxfId="679" priority="535"/>
    <cfRule type="duplicateValues" dxfId="678" priority="536"/>
    <cfRule type="duplicateValues" dxfId="677" priority="537"/>
    <cfRule type="duplicateValues" dxfId="676" priority="538"/>
    <cfRule type="duplicateValues" dxfId="675" priority="539"/>
    <cfRule type="duplicateValues" dxfId="674" priority="540"/>
    <cfRule type="duplicateValues" dxfId="673" priority="541"/>
    <cfRule type="duplicateValues" dxfId="672" priority="542"/>
  </conditionalFormatting>
  <conditionalFormatting sqref="C647:C649">
    <cfRule type="duplicateValues" dxfId="671" priority="504"/>
    <cfRule type="duplicateValues" dxfId="670" priority="505"/>
    <cfRule type="duplicateValues" dxfId="669" priority="506"/>
    <cfRule type="duplicateValues" dxfId="668" priority="507"/>
    <cfRule type="duplicateValues" dxfId="667" priority="508"/>
    <cfRule type="duplicateValues" dxfId="666" priority="509"/>
    <cfRule type="duplicateValues" dxfId="665" priority="510"/>
    <cfRule type="duplicateValues" dxfId="664" priority="511"/>
    <cfRule type="duplicateValues" dxfId="663" priority="512"/>
    <cfRule type="duplicateValues" dxfId="662" priority="513"/>
    <cfRule type="duplicateValues" dxfId="661" priority="514"/>
  </conditionalFormatting>
  <conditionalFormatting sqref="C650">
    <cfRule type="duplicateValues" dxfId="660" priority="482"/>
    <cfRule type="duplicateValues" dxfId="659" priority="483"/>
    <cfRule type="duplicateValues" dxfId="658" priority="484"/>
    <cfRule type="duplicateValues" dxfId="657" priority="485"/>
    <cfRule type="duplicateValues" dxfId="656" priority="486"/>
    <cfRule type="duplicateValues" dxfId="655" priority="487"/>
    <cfRule type="duplicateValues" dxfId="654" priority="488"/>
    <cfRule type="duplicateValues" dxfId="653" priority="489"/>
    <cfRule type="duplicateValues" dxfId="652" priority="490"/>
    <cfRule type="duplicateValues" dxfId="651" priority="491"/>
    <cfRule type="duplicateValues" dxfId="650" priority="492"/>
  </conditionalFormatting>
  <conditionalFormatting sqref="C650:C655">
    <cfRule type="duplicateValues" dxfId="649" priority="477"/>
    <cfRule type="duplicateValues" dxfId="648" priority="493"/>
    <cfRule type="duplicateValues" dxfId="647" priority="494"/>
    <cfRule type="duplicateValues" dxfId="646" priority="495"/>
    <cfRule type="duplicateValues" dxfId="645" priority="496"/>
    <cfRule type="duplicateValues" dxfId="644" priority="497"/>
    <cfRule type="duplicateValues" dxfId="643" priority="498"/>
    <cfRule type="duplicateValues" dxfId="642" priority="499"/>
    <cfRule type="duplicateValues" dxfId="641" priority="500"/>
    <cfRule type="duplicateValues" dxfId="640" priority="501"/>
    <cfRule type="duplicateValues" dxfId="639" priority="502"/>
  </conditionalFormatting>
  <conditionalFormatting sqref="C651:C655">
    <cfRule type="duplicateValues" dxfId="638" priority="464"/>
    <cfRule type="duplicateValues" dxfId="637" priority="465"/>
    <cfRule type="duplicateValues" dxfId="636" priority="466"/>
    <cfRule type="duplicateValues" dxfId="635" priority="467"/>
    <cfRule type="duplicateValues" dxfId="634" priority="468"/>
    <cfRule type="duplicateValues" dxfId="633" priority="469"/>
    <cfRule type="duplicateValues" dxfId="632" priority="470"/>
    <cfRule type="duplicateValues" dxfId="631" priority="471"/>
    <cfRule type="duplicateValues" dxfId="630" priority="472"/>
    <cfRule type="duplicateValues" dxfId="629" priority="473"/>
    <cfRule type="duplicateValues" dxfId="628" priority="474"/>
  </conditionalFormatting>
  <conditionalFormatting sqref="C656:C658">
    <cfRule type="duplicateValues" dxfId="627" priority="438"/>
    <cfRule type="duplicateValues" dxfId="626" priority="441"/>
    <cfRule type="duplicateValues" dxfId="625" priority="442"/>
    <cfRule type="duplicateValues" dxfId="624" priority="443"/>
    <cfRule type="duplicateValues" dxfId="623" priority="444"/>
    <cfRule type="duplicateValues" dxfId="622" priority="445"/>
    <cfRule type="duplicateValues" dxfId="621" priority="446"/>
    <cfRule type="duplicateValues" dxfId="620" priority="447"/>
    <cfRule type="duplicateValues" dxfId="619" priority="448"/>
    <cfRule type="duplicateValues" dxfId="618" priority="449"/>
    <cfRule type="duplicateValues" dxfId="617" priority="450"/>
    <cfRule type="duplicateValues" dxfId="616" priority="451"/>
    <cfRule type="duplicateValues" dxfId="615" priority="454"/>
    <cfRule type="duplicateValues" dxfId="614" priority="455"/>
    <cfRule type="duplicateValues" dxfId="613" priority="456"/>
    <cfRule type="duplicateValues" dxfId="612" priority="457"/>
    <cfRule type="duplicateValues" dxfId="611" priority="458"/>
    <cfRule type="duplicateValues" dxfId="610" priority="459"/>
    <cfRule type="duplicateValues" dxfId="609" priority="460"/>
    <cfRule type="duplicateValues" dxfId="608" priority="461"/>
    <cfRule type="duplicateValues" dxfId="607" priority="462"/>
    <cfRule type="duplicateValues" dxfId="606" priority="463"/>
  </conditionalFormatting>
  <conditionalFormatting sqref="C659">
    <cfRule type="duplicateValues" dxfId="605" priority="417"/>
    <cfRule type="duplicateValues" dxfId="604" priority="418"/>
    <cfRule type="duplicateValues" dxfId="603" priority="419"/>
    <cfRule type="duplicateValues" dxfId="602" priority="420"/>
    <cfRule type="duplicateValues" dxfId="601" priority="421"/>
    <cfRule type="duplicateValues" dxfId="600" priority="422"/>
    <cfRule type="duplicateValues" dxfId="599" priority="423"/>
    <cfRule type="duplicateValues" dxfId="598" priority="424"/>
    <cfRule type="duplicateValues" dxfId="597" priority="425"/>
    <cfRule type="duplicateValues" dxfId="596" priority="426"/>
    <cfRule type="duplicateValues" dxfId="595" priority="427"/>
  </conditionalFormatting>
  <conditionalFormatting sqref="C659:C664">
    <cfRule type="duplicateValues" dxfId="594" priority="412"/>
    <cfRule type="duplicateValues" dxfId="593" priority="428"/>
    <cfRule type="duplicateValues" dxfId="592" priority="429"/>
    <cfRule type="duplicateValues" dxfId="591" priority="430"/>
    <cfRule type="duplicateValues" dxfId="590" priority="431"/>
    <cfRule type="duplicateValues" dxfId="589" priority="432"/>
    <cfRule type="duplicateValues" dxfId="588" priority="433"/>
    <cfRule type="duplicateValues" dxfId="587" priority="434"/>
    <cfRule type="duplicateValues" dxfId="586" priority="435"/>
    <cfRule type="duplicateValues" dxfId="585" priority="436"/>
    <cfRule type="duplicateValues" dxfId="584" priority="437"/>
  </conditionalFormatting>
  <conditionalFormatting sqref="C660:C664">
    <cfRule type="duplicateValues" dxfId="583" priority="399"/>
    <cfRule type="duplicateValues" dxfId="582" priority="400"/>
    <cfRule type="duplicateValues" dxfId="581" priority="401"/>
    <cfRule type="duplicateValues" dxfId="580" priority="402"/>
    <cfRule type="duplicateValues" dxfId="579" priority="403"/>
    <cfRule type="duplicateValues" dxfId="578" priority="404"/>
    <cfRule type="duplicateValues" dxfId="577" priority="405"/>
    <cfRule type="duplicateValues" dxfId="576" priority="406"/>
    <cfRule type="duplicateValues" dxfId="575" priority="407"/>
    <cfRule type="duplicateValues" dxfId="574" priority="408"/>
    <cfRule type="duplicateValues" dxfId="573" priority="409"/>
  </conditionalFormatting>
  <conditionalFormatting sqref="C665">
    <cfRule type="duplicateValues" dxfId="572" priority="363"/>
    <cfRule type="duplicateValues" dxfId="571" priority="364"/>
    <cfRule type="duplicateValues" dxfId="570" priority="365"/>
    <cfRule type="duplicateValues" dxfId="569" priority="366"/>
    <cfRule type="duplicateValues" dxfId="568" priority="367"/>
    <cfRule type="duplicateValues" dxfId="567" priority="368"/>
    <cfRule type="duplicateValues" dxfId="566" priority="369"/>
    <cfRule type="duplicateValues" dxfId="565" priority="370"/>
    <cfRule type="duplicateValues" dxfId="564" priority="371"/>
    <cfRule type="duplicateValues" dxfId="563" priority="372"/>
    <cfRule type="duplicateValues" dxfId="562" priority="373"/>
  </conditionalFormatting>
  <conditionalFormatting sqref="C665:C667">
    <cfRule type="duplicateValues" dxfId="561" priority="358"/>
    <cfRule type="duplicateValues" dxfId="560" priority="374"/>
    <cfRule type="duplicateValues" dxfId="559" priority="375"/>
    <cfRule type="duplicateValues" dxfId="558" priority="376"/>
    <cfRule type="duplicateValues" dxfId="557" priority="377"/>
    <cfRule type="duplicateValues" dxfId="556" priority="378"/>
    <cfRule type="duplicateValues" dxfId="555" priority="379"/>
    <cfRule type="duplicateValues" dxfId="554" priority="380"/>
    <cfRule type="duplicateValues" dxfId="553" priority="381"/>
    <cfRule type="duplicateValues" dxfId="552" priority="382"/>
    <cfRule type="duplicateValues" dxfId="551" priority="383"/>
  </conditionalFormatting>
  <conditionalFormatting sqref="C665:C668">
    <cfRule type="duplicateValues" dxfId="550" priority="357"/>
  </conditionalFormatting>
  <conditionalFormatting sqref="C666:C667">
    <cfRule type="duplicateValues" dxfId="549" priority="344"/>
    <cfRule type="duplicateValues" dxfId="548" priority="345"/>
    <cfRule type="duplicateValues" dxfId="547" priority="346"/>
    <cfRule type="duplicateValues" dxfId="546" priority="347"/>
    <cfRule type="duplicateValues" dxfId="545" priority="348"/>
    <cfRule type="duplicateValues" dxfId="544" priority="349"/>
    <cfRule type="duplicateValues" dxfId="543" priority="350"/>
    <cfRule type="duplicateValues" dxfId="542" priority="351"/>
    <cfRule type="duplicateValues" dxfId="541" priority="352"/>
    <cfRule type="duplicateValues" dxfId="540" priority="353"/>
    <cfRule type="duplicateValues" dxfId="539" priority="354"/>
  </conditionalFormatting>
  <conditionalFormatting sqref="C668">
    <cfRule type="duplicateValues" dxfId="538" priority="342"/>
    <cfRule type="duplicateValues" dxfId="537" priority="343"/>
  </conditionalFormatting>
  <conditionalFormatting sqref="C669:C671">
    <cfRule type="duplicateValues" dxfId="536" priority="316"/>
    <cfRule type="duplicateValues" dxfId="535" priority="319"/>
    <cfRule type="duplicateValues" dxfId="534" priority="320"/>
    <cfRule type="duplicateValues" dxfId="533" priority="321"/>
    <cfRule type="duplicateValues" dxfId="532" priority="322"/>
    <cfRule type="duplicateValues" dxfId="531" priority="323"/>
    <cfRule type="duplicateValues" dxfId="530" priority="324"/>
    <cfRule type="duplicateValues" dxfId="529" priority="325"/>
    <cfRule type="duplicateValues" dxfId="528" priority="326"/>
    <cfRule type="duplicateValues" dxfId="527" priority="327"/>
    <cfRule type="duplicateValues" dxfId="526" priority="328"/>
    <cfRule type="duplicateValues" dxfId="525" priority="329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</conditionalFormatting>
  <conditionalFormatting sqref="C669:C673">
    <cfRule type="duplicateValues" dxfId="514" priority="315"/>
  </conditionalFormatting>
  <conditionalFormatting sqref="C672:C673">
    <cfRule type="duplicateValues" dxfId="513" priority="313"/>
    <cfRule type="duplicateValues" dxfId="512" priority="314"/>
  </conditionalFormatting>
  <conditionalFormatting sqref="C674">
    <cfRule type="duplicateValues" dxfId="511" priority="291"/>
    <cfRule type="duplicateValues" dxfId="510" priority="292"/>
    <cfRule type="duplicateValues" dxfId="509" priority="293"/>
    <cfRule type="duplicateValues" dxfId="508" priority="294"/>
    <cfRule type="duplicateValues" dxfId="507" priority="295"/>
    <cfRule type="duplicateValues" dxfId="506" priority="296"/>
    <cfRule type="duplicateValues" dxfId="505" priority="297"/>
    <cfRule type="duplicateValues" dxfId="504" priority="298"/>
    <cfRule type="duplicateValues" dxfId="503" priority="299"/>
    <cfRule type="duplicateValues" dxfId="502" priority="300"/>
    <cfRule type="duplicateValues" dxfId="501" priority="301"/>
  </conditionalFormatting>
  <conditionalFormatting sqref="C674:C675">
    <cfRule type="duplicateValues" dxfId="500" priority="287"/>
    <cfRule type="duplicateValues" dxfId="499" priority="303"/>
    <cfRule type="duplicateValues" dxfId="498" priority="304"/>
    <cfRule type="duplicateValues" dxfId="497" priority="305"/>
    <cfRule type="duplicateValues" dxfId="496" priority="306"/>
    <cfRule type="duplicateValues" dxfId="495" priority="307"/>
    <cfRule type="duplicateValues" dxfId="494" priority="308"/>
    <cfRule type="duplicateValues" dxfId="493" priority="309"/>
    <cfRule type="duplicateValues" dxfId="492" priority="310"/>
    <cfRule type="duplicateValues" dxfId="491" priority="311"/>
    <cfRule type="duplicateValues" dxfId="490" priority="312"/>
  </conditionalFormatting>
  <conditionalFormatting sqref="C674:C676">
    <cfRule type="duplicateValues" dxfId="489" priority="286"/>
  </conditionalFormatting>
  <conditionalFormatting sqref="C675">
    <cfRule type="duplicateValues" dxfId="488" priority="273"/>
    <cfRule type="duplicateValues" dxfId="487" priority="274"/>
    <cfRule type="duplicateValues" dxfId="486" priority="275"/>
    <cfRule type="duplicateValues" dxfId="485" priority="276"/>
    <cfRule type="duplicateValues" dxfId="484" priority="277"/>
    <cfRule type="duplicateValues" dxfId="483" priority="278"/>
    <cfRule type="duplicateValues" dxfId="482" priority="279"/>
    <cfRule type="duplicateValues" dxfId="481" priority="280"/>
    <cfRule type="duplicateValues" dxfId="480" priority="281"/>
    <cfRule type="duplicateValues" dxfId="479" priority="282"/>
    <cfRule type="duplicateValues" dxfId="478" priority="283"/>
  </conditionalFormatting>
  <conditionalFormatting sqref="C676">
    <cfRule type="duplicateValues" dxfId="477" priority="271"/>
    <cfRule type="duplicateValues" dxfId="476" priority="272"/>
  </conditionalFormatting>
  <conditionalFormatting sqref="C677:C679">
    <cfRule type="duplicateValues" dxfId="475" priority="245"/>
    <cfRule type="duplicateValues" dxfId="474" priority="248"/>
    <cfRule type="duplicateValues" dxfId="473" priority="249"/>
    <cfRule type="duplicateValues" dxfId="472" priority="250"/>
    <cfRule type="duplicateValues" dxfId="471" priority="251"/>
    <cfRule type="duplicateValues" dxfId="470" priority="252"/>
    <cfRule type="duplicateValues" dxfId="469" priority="253"/>
    <cfRule type="duplicateValues" dxfId="468" priority="254"/>
    <cfRule type="duplicateValues" dxfId="467" priority="255"/>
    <cfRule type="duplicateValues" dxfId="466" priority="256"/>
    <cfRule type="duplicateValues" dxfId="465" priority="257"/>
    <cfRule type="duplicateValues" dxfId="464" priority="258"/>
    <cfRule type="duplicateValues" dxfId="463" priority="261"/>
    <cfRule type="duplicateValues" dxfId="462" priority="262"/>
    <cfRule type="duplicateValues" dxfId="461" priority="263"/>
    <cfRule type="duplicateValues" dxfId="460" priority="264"/>
    <cfRule type="duplicateValues" dxfId="459" priority="265"/>
    <cfRule type="duplicateValues" dxfId="458" priority="266"/>
    <cfRule type="duplicateValues" dxfId="457" priority="267"/>
    <cfRule type="duplicateValues" dxfId="456" priority="268"/>
    <cfRule type="duplicateValues" dxfId="455" priority="269"/>
    <cfRule type="duplicateValues" dxfId="454" priority="270"/>
  </conditionalFormatting>
  <conditionalFormatting sqref="C677:C681">
    <cfRule type="duplicateValues" dxfId="453" priority="244"/>
  </conditionalFormatting>
  <conditionalFormatting sqref="C680">
    <cfRule type="duplicateValues" dxfId="452" priority="242"/>
  </conditionalFormatting>
  <conditionalFormatting sqref="C680:C681">
    <cfRule type="duplicateValues" dxfId="451" priority="243"/>
  </conditionalFormatting>
  <conditionalFormatting sqref="C681">
    <cfRule type="duplicateValues" dxfId="450" priority="241"/>
  </conditionalFormatting>
  <conditionalFormatting sqref="C682">
    <cfRule type="duplicateValues" dxfId="449" priority="214"/>
    <cfRule type="duplicateValues" dxfId="448" priority="215"/>
    <cfRule type="duplicateValues" dxfId="447" priority="218"/>
    <cfRule type="duplicateValues" dxfId="446" priority="219"/>
    <cfRule type="duplicateValues" dxfId="445" priority="220"/>
    <cfRule type="duplicateValues" dxfId="444" priority="221"/>
    <cfRule type="duplicateValues" dxfId="443" priority="222"/>
    <cfRule type="duplicateValues" dxfId="442" priority="223"/>
    <cfRule type="duplicateValues" dxfId="441" priority="224"/>
    <cfRule type="duplicateValues" dxfId="440" priority="225"/>
    <cfRule type="duplicateValues" dxfId="439" priority="226"/>
    <cfRule type="duplicateValues" dxfId="438" priority="227"/>
    <cfRule type="duplicateValues" dxfId="437" priority="228"/>
    <cfRule type="duplicateValues" dxfId="436" priority="229"/>
    <cfRule type="duplicateValues" dxfId="435" priority="230"/>
    <cfRule type="duplicateValues" dxfId="434" priority="231"/>
    <cfRule type="duplicateValues" dxfId="433" priority="232"/>
    <cfRule type="duplicateValues" dxfId="432" priority="233"/>
    <cfRule type="duplicateValues" dxfId="431" priority="234"/>
    <cfRule type="duplicateValues" dxfId="430" priority="235"/>
    <cfRule type="duplicateValues" dxfId="429" priority="236"/>
    <cfRule type="duplicateValues" dxfId="428" priority="237"/>
    <cfRule type="duplicateValues" dxfId="427" priority="238"/>
  </conditionalFormatting>
  <conditionalFormatting sqref="C683">
    <cfRule type="duplicateValues" dxfId="426" priority="193"/>
    <cfRule type="duplicateValues" dxfId="425" priority="194"/>
    <cfRule type="duplicateValues" dxfId="424" priority="195"/>
    <cfRule type="duplicateValues" dxfId="423" priority="196"/>
    <cfRule type="duplicateValues" dxfId="422" priority="197"/>
    <cfRule type="duplicateValues" dxfId="421" priority="198"/>
    <cfRule type="duplicateValues" dxfId="420" priority="199"/>
    <cfRule type="duplicateValues" dxfId="419" priority="200"/>
    <cfRule type="duplicateValues" dxfId="418" priority="201"/>
    <cfRule type="duplicateValues" dxfId="417" priority="202"/>
    <cfRule type="duplicateValues" dxfId="416" priority="203"/>
  </conditionalFormatting>
  <conditionalFormatting sqref="C683:C684">
    <cfRule type="duplicateValues" dxfId="415" priority="187"/>
    <cfRule type="duplicateValues" dxfId="414" priority="188"/>
    <cfRule type="duplicateValues" dxfId="413" priority="204"/>
    <cfRule type="duplicateValues" dxfId="412" priority="205"/>
    <cfRule type="duplicateValues" dxfId="411" priority="206"/>
    <cfRule type="duplicateValues" dxfId="410" priority="207"/>
    <cfRule type="duplicateValues" dxfId="409" priority="208"/>
    <cfRule type="duplicateValues" dxfId="408" priority="209"/>
    <cfRule type="duplicateValues" dxfId="407" priority="210"/>
    <cfRule type="duplicateValues" dxfId="406" priority="211"/>
    <cfRule type="duplicateValues" dxfId="405" priority="212"/>
    <cfRule type="duplicateValues" dxfId="404" priority="213"/>
  </conditionalFormatting>
  <conditionalFormatting sqref="C684">
    <cfRule type="duplicateValues" dxfId="403" priority="174"/>
    <cfRule type="duplicateValues" dxfId="402" priority="175"/>
    <cfRule type="duplicateValues" dxfId="401" priority="176"/>
    <cfRule type="duplicateValues" dxfId="400" priority="177"/>
    <cfRule type="duplicateValues" dxfId="399" priority="178"/>
    <cfRule type="duplicateValues" dxfId="398" priority="179"/>
    <cfRule type="duplicateValues" dxfId="397" priority="180"/>
    <cfRule type="duplicateValues" dxfId="396" priority="181"/>
    <cfRule type="duplicateValues" dxfId="395" priority="182"/>
    <cfRule type="duplicateValues" dxfId="394" priority="183"/>
    <cfRule type="duplicateValues" dxfId="393" priority="184"/>
  </conditionalFormatting>
  <conditionalFormatting sqref="C685">
    <cfRule type="duplicateValues" dxfId="392" priority="148"/>
    <cfRule type="duplicateValues" dxfId="391" priority="153"/>
    <cfRule type="duplicateValues" dxfId="390" priority="154"/>
    <cfRule type="duplicateValues" dxfId="389" priority="155"/>
    <cfRule type="duplicateValues" dxfId="388" priority="156"/>
    <cfRule type="duplicateValues" dxfId="387" priority="157"/>
    <cfRule type="duplicateValues" dxfId="386" priority="158"/>
    <cfRule type="duplicateValues" dxfId="385" priority="159"/>
    <cfRule type="duplicateValues" dxfId="384" priority="160"/>
    <cfRule type="duplicateValues" dxfId="383" priority="161"/>
    <cfRule type="duplicateValues" dxfId="382" priority="162"/>
    <cfRule type="duplicateValues" dxfId="381" priority="163"/>
    <cfRule type="duplicateValues" dxfId="380" priority="164"/>
    <cfRule type="duplicateValues" dxfId="379" priority="165"/>
    <cfRule type="duplicateValues" dxfId="378" priority="166"/>
    <cfRule type="duplicateValues" dxfId="377" priority="167"/>
    <cfRule type="duplicateValues" dxfId="376" priority="168"/>
    <cfRule type="duplicateValues" dxfId="375" priority="169"/>
    <cfRule type="duplicateValues" dxfId="374" priority="170"/>
    <cfRule type="duplicateValues" dxfId="373" priority="171"/>
    <cfRule type="duplicateValues" dxfId="372" priority="172"/>
    <cfRule type="duplicateValues" dxfId="371" priority="173"/>
  </conditionalFormatting>
  <conditionalFormatting sqref="C685:C687">
    <cfRule type="duplicateValues" dxfId="370" priority="147"/>
  </conditionalFormatting>
  <conditionalFormatting sqref="C686:C687">
    <cfRule type="duplicateValues" dxfId="369" priority="146"/>
  </conditionalFormatting>
  <conditionalFormatting sqref="C688">
    <cfRule type="duplicateValues" dxfId="368" priority="124"/>
    <cfRule type="duplicateValues" dxfId="367" priority="125"/>
    <cfRule type="duplicateValues" dxfId="366" priority="126"/>
  </conditionalFormatting>
  <conditionalFormatting sqref="C688:C689">
    <cfRule type="duplicateValues" dxfId="365" priority="127"/>
    <cfRule type="duplicateValues" dxfId="364" priority="128"/>
    <cfRule type="duplicateValues" dxfId="363" priority="129"/>
    <cfRule type="duplicateValues" dxfId="362" priority="130"/>
    <cfRule type="duplicateValues" dxfId="361" priority="131"/>
    <cfRule type="duplicateValues" dxfId="360" priority="132"/>
    <cfRule type="duplicateValues" dxfId="359" priority="133"/>
    <cfRule type="duplicateValues" dxfId="358" priority="134"/>
  </conditionalFormatting>
  <conditionalFormatting sqref="C688:C690">
    <cfRule type="duplicateValues" dxfId="357" priority="120"/>
    <cfRule type="duplicateValues" dxfId="356" priority="136"/>
    <cfRule type="duplicateValues" dxfId="355" priority="137"/>
    <cfRule type="duplicateValues" dxfId="354" priority="138"/>
    <cfRule type="duplicateValues" dxfId="353" priority="139"/>
    <cfRule type="duplicateValues" dxfId="352" priority="140"/>
    <cfRule type="duplicateValues" dxfId="351" priority="141"/>
    <cfRule type="duplicateValues" dxfId="350" priority="142"/>
    <cfRule type="duplicateValues" dxfId="349" priority="143"/>
    <cfRule type="duplicateValues" dxfId="348" priority="144"/>
    <cfRule type="duplicateValues" dxfId="347" priority="145"/>
  </conditionalFormatting>
  <conditionalFormatting sqref="C688:C691">
    <cfRule type="duplicateValues" dxfId="346" priority="119"/>
  </conditionalFormatting>
  <conditionalFormatting sqref="C689">
    <cfRule type="duplicateValues" dxfId="345" priority="116"/>
    <cfRule type="duplicateValues" dxfId="344" priority="117"/>
    <cfRule type="duplicateValues" dxfId="343" priority="118"/>
  </conditionalFormatting>
  <conditionalFormatting sqref="C690">
    <cfRule type="duplicateValues" dxfId="342" priority="105"/>
    <cfRule type="duplicateValues" dxfId="341" priority="106"/>
    <cfRule type="duplicateValues" dxfId="340" priority="107"/>
    <cfRule type="duplicateValues" dxfId="339" priority="108"/>
    <cfRule type="duplicateValues" dxfId="338" priority="109"/>
    <cfRule type="duplicateValues" dxfId="337" priority="110"/>
    <cfRule type="duplicateValues" dxfId="336" priority="111"/>
    <cfRule type="duplicateValues" dxfId="335" priority="112"/>
    <cfRule type="duplicateValues" dxfId="334" priority="113"/>
    <cfRule type="duplicateValues" dxfId="333" priority="114"/>
    <cfRule type="duplicateValues" dxfId="332" priority="115"/>
  </conditionalFormatting>
  <conditionalFormatting sqref="C691">
    <cfRule type="duplicateValues" dxfId="331" priority="102"/>
  </conditionalFormatting>
  <conditionalFormatting sqref="C692:C694">
    <cfRule type="duplicateValues" dxfId="330" priority="86"/>
    <cfRule type="duplicateValues" dxfId="329" priority="87"/>
  </conditionalFormatting>
  <conditionalFormatting sqref="C695">
    <cfRule type="duplicateValues" dxfId="328" priority="59"/>
    <cfRule type="duplicateValues" dxfId="327" priority="60"/>
    <cfRule type="duplicateValues" dxfId="326" priority="65"/>
    <cfRule type="duplicateValues" dxfId="325" priority="66"/>
    <cfRule type="duplicateValues" dxfId="324" priority="67"/>
    <cfRule type="duplicateValues" dxfId="323" priority="68"/>
    <cfRule type="duplicateValues" dxfId="322" priority="69"/>
    <cfRule type="duplicateValues" dxfId="321" priority="70"/>
    <cfRule type="duplicateValues" dxfId="320" priority="71"/>
    <cfRule type="duplicateValues" dxfId="319" priority="72"/>
    <cfRule type="duplicateValues" dxfId="318" priority="73"/>
    <cfRule type="duplicateValues" dxfId="317" priority="74"/>
    <cfRule type="duplicateValues" dxfId="316" priority="75"/>
    <cfRule type="duplicateValues" dxfId="315" priority="76"/>
    <cfRule type="duplicateValues" dxfId="314" priority="77"/>
    <cfRule type="duplicateValues" dxfId="313" priority="78"/>
    <cfRule type="duplicateValues" dxfId="312" priority="79"/>
    <cfRule type="duplicateValues" dxfId="311" priority="80"/>
    <cfRule type="duplicateValues" dxfId="310" priority="81"/>
    <cfRule type="duplicateValues" dxfId="309" priority="82"/>
    <cfRule type="duplicateValues" dxfId="308" priority="83"/>
    <cfRule type="duplicateValues" dxfId="307" priority="84"/>
    <cfRule type="duplicateValues" dxfId="306" priority="85"/>
  </conditionalFormatting>
  <conditionalFormatting sqref="C695:C698">
    <cfRule type="duplicateValues" dxfId="305" priority="57"/>
    <cfRule type="duplicateValues" dxfId="304" priority="58"/>
  </conditionalFormatting>
  <conditionalFormatting sqref="C696:C698">
    <cfRule type="duplicateValues" dxfId="303" priority="56"/>
  </conditionalFormatting>
  <conditionalFormatting sqref="C699:C704">
    <cfRule type="duplicateValues" dxfId="302" priority="53"/>
    <cfRule type="duplicateValues" dxfId="301" priority="54"/>
    <cfRule type="duplicateValues" dxfId="300" priority="55"/>
  </conditionalFormatting>
  <conditionalFormatting sqref="C705">
    <cfRule type="duplicateValues" dxfId="299" priority="32"/>
    <cfRule type="duplicateValues" dxfId="298" priority="33"/>
    <cfRule type="duplicateValues" dxfId="297" priority="34"/>
    <cfRule type="duplicateValues" dxfId="296" priority="35"/>
    <cfRule type="duplicateValues" dxfId="295" priority="36"/>
    <cfRule type="duplicateValues" dxfId="294" priority="37"/>
    <cfRule type="duplicateValues" dxfId="293" priority="38"/>
    <cfRule type="duplicateValues" dxfId="292" priority="39"/>
    <cfRule type="duplicateValues" dxfId="291" priority="50"/>
    <cfRule type="duplicateValues" dxfId="290" priority="51"/>
    <cfRule type="duplicateValues" dxfId="289" priority="52"/>
  </conditionalFormatting>
  <conditionalFormatting sqref="C705:C706">
    <cfRule type="duplicateValues" dxfId="288" priority="26"/>
    <cfRule type="duplicateValues" dxfId="287" priority="27"/>
    <cfRule type="duplicateValues" dxfId="286" priority="40"/>
    <cfRule type="duplicateValues" dxfId="285" priority="41"/>
    <cfRule type="duplicateValues" dxfId="284" priority="42"/>
    <cfRule type="duplicateValues" dxfId="283" priority="43"/>
    <cfRule type="duplicateValues" dxfId="282" priority="44"/>
    <cfRule type="duplicateValues" dxfId="281" priority="45"/>
    <cfRule type="duplicateValues" dxfId="280" priority="46"/>
    <cfRule type="duplicateValues" dxfId="279" priority="47"/>
    <cfRule type="duplicateValues" dxfId="278" priority="48"/>
    <cfRule type="duplicateValues" dxfId="277" priority="49"/>
  </conditionalFormatting>
  <conditionalFormatting sqref="C705:C710">
    <cfRule type="duplicateValues" dxfId="276" priority="24"/>
    <cfRule type="duplicateValues" dxfId="275" priority="25"/>
  </conditionalFormatting>
  <conditionalFormatting sqref="C706">
    <cfRule type="duplicateValues" dxfId="274" priority="11"/>
    <cfRule type="duplicateValues" dxfId="273" priority="12"/>
    <cfRule type="duplicateValues" dxfId="272" priority="13"/>
    <cfRule type="duplicateValues" dxfId="271" priority="14"/>
    <cfRule type="duplicateValues" dxfId="270" priority="15"/>
    <cfRule type="duplicateValues" dxfId="269" priority="16"/>
    <cfRule type="duplicateValues" dxfId="268" priority="17"/>
    <cfRule type="duplicateValues" dxfId="267" priority="18"/>
    <cfRule type="duplicateValues" dxfId="266" priority="19"/>
    <cfRule type="duplicateValues" dxfId="265" priority="20"/>
    <cfRule type="duplicateValues" dxfId="264" priority="21"/>
  </conditionalFormatting>
  <conditionalFormatting sqref="C707:C710">
    <cfRule type="duplicateValues" dxfId="263" priority="10"/>
  </conditionalFormatting>
  <conditionalFormatting sqref="C711:C713">
    <cfRule type="duplicateValues" dxfId="262" priority="7"/>
    <cfRule type="duplicateValues" dxfId="261" priority="8"/>
    <cfRule type="duplicateValues" dxfId="260" priority="9"/>
  </conditionalFormatting>
  <conditionalFormatting sqref="C714">
    <cfRule type="duplicateValues" dxfId="259" priority="4"/>
    <cfRule type="duplicateValues" dxfId="258" priority="5"/>
    <cfRule type="duplicateValues" dxfId="257" priority="6"/>
  </conditionalFormatting>
  <conditionalFormatting sqref="C715:C719">
    <cfRule type="duplicateValues" dxfId="256" priority="1"/>
    <cfRule type="duplicateValues" dxfId="255" priority="2"/>
    <cfRule type="duplicateValues" dxfId="254" priority="3"/>
  </conditionalFormatting>
  <conditionalFormatting sqref="D326:D342">
    <cfRule type="duplicateValues" dxfId="253" priority="9294"/>
  </conditionalFormatting>
  <conditionalFormatting sqref="D343">
    <cfRule type="duplicateValues" dxfId="252" priority="1943"/>
  </conditionalFormatting>
  <conditionalFormatting sqref="D344:D350">
    <cfRule type="duplicateValues" dxfId="251" priority="1936"/>
  </conditionalFormatting>
  <conditionalFormatting sqref="D352:D360">
    <cfRule type="duplicateValues" dxfId="250" priority="1909"/>
  </conditionalFormatting>
  <conditionalFormatting sqref="D361:D379">
    <cfRule type="duplicateValues" dxfId="249" priority="1894"/>
  </conditionalFormatting>
  <conditionalFormatting sqref="D380:D387">
    <cfRule type="duplicateValues" dxfId="248" priority="1880"/>
  </conditionalFormatting>
  <conditionalFormatting sqref="D388:D396">
    <cfRule type="duplicateValues" dxfId="247" priority="1869"/>
  </conditionalFormatting>
  <conditionalFormatting sqref="D397:D401">
    <cfRule type="duplicateValues" dxfId="246" priority="1857"/>
  </conditionalFormatting>
  <conditionalFormatting sqref="D402:D405">
    <cfRule type="duplicateValues" dxfId="245" priority="1844"/>
  </conditionalFormatting>
  <conditionalFormatting sqref="D406:D410">
    <cfRule type="duplicateValues" dxfId="244" priority="1831"/>
  </conditionalFormatting>
  <conditionalFormatting sqref="D411:D418">
    <cfRule type="duplicateValues" dxfId="243" priority="10954"/>
  </conditionalFormatting>
  <conditionalFormatting sqref="D419:D422">
    <cfRule type="duplicateValues" dxfId="242" priority="1784"/>
  </conditionalFormatting>
  <conditionalFormatting sqref="D423">
    <cfRule type="duplicateValues" dxfId="241" priority="1773"/>
  </conditionalFormatting>
  <conditionalFormatting sqref="D424:D425">
    <cfRule type="duplicateValues" dxfId="240" priority="1762"/>
  </conditionalFormatting>
  <conditionalFormatting sqref="D426">
    <cfRule type="duplicateValues" dxfId="239" priority="1751"/>
  </conditionalFormatting>
  <conditionalFormatting sqref="D427:D428">
    <cfRule type="duplicateValues" dxfId="238" priority="1740"/>
  </conditionalFormatting>
  <conditionalFormatting sqref="D429:D430">
    <cfRule type="duplicateValues" dxfId="237" priority="1729"/>
  </conditionalFormatting>
  <conditionalFormatting sqref="D431:D433">
    <cfRule type="duplicateValues" dxfId="236" priority="1704"/>
  </conditionalFormatting>
  <conditionalFormatting sqref="D434:D438">
    <cfRule type="duplicateValues" dxfId="235" priority="1675"/>
  </conditionalFormatting>
  <conditionalFormatting sqref="D439:D441">
    <cfRule type="duplicateValues" dxfId="234" priority="1625"/>
  </conditionalFormatting>
  <conditionalFormatting sqref="D442:D444">
    <cfRule type="duplicateValues" dxfId="233" priority="1609"/>
  </conditionalFormatting>
  <conditionalFormatting sqref="D446:D449">
    <cfRule type="duplicateValues" dxfId="232" priority="1566"/>
  </conditionalFormatting>
  <conditionalFormatting sqref="D450:D451">
    <cfRule type="duplicateValues" dxfId="231" priority="1551"/>
  </conditionalFormatting>
  <conditionalFormatting sqref="D452:D456">
    <cfRule type="duplicateValues" dxfId="230" priority="1520"/>
  </conditionalFormatting>
  <conditionalFormatting sqref="D457">
    <cfRule type="duplicateValues" dxfId="229" priority="1496"/>
  </conditionalFormatting>
  <conditionalFormatting sqref="D458:D459">
    <cfRule type="duplicateValues" dxfId="228" priority="1483"/>
  </conditionalFormatting>
  <conditionalFormatting sqref="D461:D466">
    <cfRule type="duplicateValues" dxfId="227" priority="1452"/>
  </conditionalFormatting>
  <conditionalFormatting sqref="D467">
    <cfRule type="duplicateValues" dxfId="226" priority="1414"/>
  </conditionalFormatting>
  <conditionalFormatting sqref="D468">
    <cfRule type="duplicateValues" dxfId="225" priority="1396"/>
  </conditionalFormatting>
  <conditionalFormatting sqref="D469:D475">
    <cfRule type="duplicateValues" dxfId="224" priority="1379"/>
  </conditionalFormatting>
  <conditionalFormatting sqref="D476:D491">
    <cfRule type="duplicateValues" dxfId="223" priority="1358"/>
  </conditionalFormatting>
  <conditionalFormatting sqref="D492:D521">
    <cfRule type="duplicateValues" dxfId="222" priority="1335"/>
  </conditionalFormatting>
  <conditionalFormatting sqref="D522:D532">
    <cfRule type="duplicateValues" dxfId="221" priority="1289"/>
  </conditionalFormatting>
  <conditionalFormatting sqref="D533:D538">
    <cfRule type="duplicateValues" dxfId="220" priority="1250"/>
  </conditionalFormatting>
  <conditionalFormatting sqref="D539:D545">
    <cfRule type="duplicateValues" dxfId="219" priority="1218"/>
  </conditionalFormatting>
  <conditionalFormatting sqref="D546:D548">
    <cfRule type="duplicateValues" dxfId="218" priority="1185"/>
  </conditionalFormatting>
  <conditionalFormatting sqref="D549:D560">
    <cfRule type="duplicateValues" dxfId="217" priority="1166"/>
  </conditionalFormatting>
  <conditionalFormatting sqref="D561:D563">
    <cfRule type="duplicateValues" dxfId="216" priority="1129"/>
  </conditionalFormatting>
  <conditionalFormatting sqref="D564:D567">
    <cfRule type="duplicateValues" dxfId="215" priority="1097"/>
  </conditionalFormatting>
  <conditionalFormatting sqref="D568:D572">
    <cfRule type="duplicateValues" dxfId="214" priority="1064"/>
  </conditionalFormatting>
  <conditionalFormatting sqref="D573:D576">
    <cfRule type="duplicateValues" dxfId="213" priority="1032"/>
  </conditionalFormatting>
  <conditionalFormatting sqref="D577">
    <cfRule type="duplicateValues" dxfId="212" priority="1000"/>
  </conditionalFormatting>
  <conditionalFormatting sqref="D578">
    <cfRule type="duplicateValues" dxfId="211" priority="980"/>
  </conditionalFormatting>
  <conditionalFormatting sqref="D579:D580">
    <cfRule type="duplicateValues" dxfId="210" priority="960"/>
  </conditionalFormatting>
  <conditionalFormatting sqref="D581:D582">
    <cfRule type="duplicateValues" dxfId="209" priority="929"/>
  </conditionalFormatting>
  <conditionalFormatting sqref="D583">
    <cfRule type="duplicateValues" dxfId="208" priority="900"/>
  </conditionalFormatting>
  <conditionalFormatting sqref="D584">
    <cfRule type="duplicateValues" dxfId="207" priority="897"/>
  </conditionalFormatting>
  <conditionalFormatting sqref="D585:D587">
    <cfRule type="duplicateValues" dxfId="206" priority="873"/>
  </conditionalFormatting>
  <conditionalFormatting sqref="D588">
    <cfRule type="duplicateValues" dxfId="205" priority="850"/>
  </conditionalFormatting>
  <conditionalFormatting sqref="D589:D593">
    <cfRule type="duplicateValues" dxfId="204" priority="847"/>
  </conditionalFormatting>
  <conditionalFormatting sqref="D594:D597">
    <cfRule type="duplicateValues" dxfId="203" priority="817"/>
  </conditionalFormatting>
  <conditionalFormatting sqref="D594:D601">
    <cfRule type="duplicateValues" dxfId="202" priority="815"/>
  </conditionalFormatting>
  <conditionalFormatting sqref="D598:D601">
    <cfRule type="duplicateValues" dxfId="201" priority="796"/>
  </conditionalFormatting>
  <conditionalFormatting sqref="D602">
    <cfRule type="duplicateValues" dxfId="200" priority="771"/>
  </conditionalFormatting>
  <conditionalFormatting sqref="D602:D607">
    <cfRule type="duplicateValues" dxfId="199" priority="770"/>
  </conditionalFormatting>
  <conditionalFormatting sqref="D603:D607">
    <cfRule type="duplicateValues" dxfId="198" priority="756"/>
  </conditionalFormatting>
  <conditionalFormatting sqref="D608:D609">
    <cfRule type="duplicateValues" dxfId="197" priority="732"/>
  </conditionalFormatting>
  <conditionalFormatting sqref="D608:D612">
    <cfRule type="duplicateValues" dxfId="196" priority="731"/>
  </conditionalFormatting>
  <conditionalFormatting sqref="D610:D612">
    <cfRule type="duplicateValues" dxfId="195" priority="715"/>
  </conditionalFormatting>
  <conditionalFormatting sqref="D613:D620">
    <cfRule type="duplicateValues" dxfId="194" priority="691"/>
    <cfRule type="duplicateValues" dxfId="193" priority="692"/>
  </conditionalFormatting>
  <conditionalFormatting sqref="D621">
    <cfRule type="duplicateValues" dxfId="192" priority="640"/>
  </conditionalFormatting>
  <conditionalFormatting sqref="D621:D625">
    <cfRule type="duplicateValues" dxfId="191" priority="639"/>
  </conditionalFormatting>
  <conditionalFormatting sqref="D622:D625">
    <cfRule type="duplicateValues" dxfId="190" priority="636"/>
  </conditionalFormatting>
  <conditionalFormatting sqref="D626">
    <cfRule type="duplicateValues" dxfId="189" priority="612"/>
  </conditionalFormatting>
  <conditionalFormatting sqref="D626:D637">
    <cfRule type="duplicateValues" dxfId="188" priority="611"/>
  </conditionalFormatting>
  <conditionalFormatting sqref="D627:D637">
    <cfRule type="duplicateValues" dxfId="187" priority="596"/>
  </conditionalFormatting>
  <conditionalFormatting sqref="D638:D644">
    <cfRule type="duplicateValues" dxfId="186" priority="572"/>
    <cfRule type="duplicateValues" dxfId="185" priority="585"/>
  </conditionalFormatting>
  <conditionalFormatting sqref="D645">
    <cfRule type="duplicateValues" dxfId="184" priority="545"/>
    <cfRule type="duplicateValues" dxfId="183" priority="568"/>
  </conditionalFormatting>
  <conditionalFormatting sqref="D646">
    <cfRule type="duplicateValues" dxfId="182" priority="520"/>
  </conditionalFormatting>
  <conditionalFormatting sqref="D646:D649">
    <cfRule type="duplicateValues" dxfId="181" priority="519"/>
  </conditionalFormatting>
  <conditionalFormatting sqref="D647:D649">
    <cfRule type="duplicateValues" dxfId="180" priority="515"/>
  </conditionalFormatting>
  <conditionalFormatting sqref="D650">
    <cfRule type="duplicateValues" dxfId="179" priority="480"/>
  </conditionalFormatting>
  <conditionalFormatting sqref="D650:D655">
    <cfRule type="duplicateValues" dxfId="178" priority="479"/>
  </conditionalFormatting>
  <conditionalFormatting sqref="D651:D655">
    <cfRule type="duplicateValues" dxfId="177" priority="475"/>
  </conditionalFormatting>
  <conditionalFormatting sqref="D656:D658">
    <cfRule type="duplicateValues" dxfId="176" priority="440"/>
    <cfRule type="duplicateValues" dxfId="175" priority="452"/>
  </conditionalFormatting>
  <conditionalFormatting sqref="D659">
    <cfRule type="duplicateValues" dxfId="174" priority="415"/>
  </conditionalFormatting>
  <conditionalFormatting sqref="D659:D664">
    <cfRule type="duplicateValues" dxfId="173" priority="414"/>
  </conditionalFormatting>
  <conditionalFormatting sqref="D660:D664">
    <cfRule type="duplicateValues" dxfId="172" priority="410"/>
  </conditionalFormatting>
  <conditionalFormatting sqref="D665">
    <cfRule type="duplicateValues" dxfId="171" priority="361"/>
  </conditionalFormatting>
  <conditionalFormatting sqref="D665:D667">
    <cfRule type="duplicateValues" dxfId="170" priority="360"/>
  </conditionalFormatting>
  <conditionalFormatting sqref="D666:D667">
    <cfRule type="duplicateValues" dxfId="169" priority="355"/>
  </conditionalFormatting>
  <conditionalFormatting sqref="D669:D671">
    <cfRule type="duplicateValues" dxfId="168" priority="318"/>
    <cfRule type="duplicateValues" dxfId="167" priority="330"/>
  </conditionalFormatting>
  <conditionalFormatting sqref="D674">
    <cfRule type="duplicateValues" dxfId="166" priority="290"/>
  </conditionalFormatting>
  <conditionalFormatting sqref="D674:D675">
    <cfRule type="duplicateValues" dxfId="165" priority="289"/>
  </conditionalFormatting>
  <conditionalFormatting sqref="D675">
    <cfRule type="duplicateValues" dxfId="164" priority="284"/>
  </conditionalFormatting>
  <conditionalFormatting sqref="D677:D679">
    <cfRule type="duplicateValues" dxfId="163" priority="247"/>
    <cfRule type="duplicateValues" dxfId="162" priority="259"/>
  </conditionalFormatting>
  <conditionalFormatting sqref="D682">
    <cfRule type="duplicateValues" dxfId="161" priority="217"/>
    <cfRule type="duplicateValues" dxfId="160" priority="239"/>
  </conditionalFormatting>
  <conditionalFormatting sqref="D683">
    <cfRule type="duplicateValues" dxfId="159" priority="191"/>
  </conditionalFormatting>
  <conditionalFormatting sqref="D683:D684">
    <cfRule type="duplicateValues" dxfId="158" priority="190"/>
  </conditionalFormatting>
  <conditionalFormatting sqref="D684">
    <cfRule type="duplicateValues" dxfId="157" priority="185"/>
  </conditionalFormatting>
  <conditionalFormatting sqref="D685">
    <cfRule type="duplicateValues" dxfId="156" priority="150"/>
    <cfRule type="duplicateValues" dxfId="155" priority="151"/>
  </conditionalFormatting>
  <conditionalFormatting sqref="D688:D689">
    <cfRule type="duplicateValues" dxfId="154" priority="123"/>
  </conditionalFormatting>
  <conditionalFormatting sqref="D688:D690">
    <cfRule type="duplicateValues" dxfId="153" priority="122"/>
  </conditionalFormatting>
  <conditionalFormatting sqref="D690">
    <cfRule type="duplicateValues" dxfId="152" priority="103"/>
  </conditionalFormatting>
  <conditionalFormatting sqref="D695">
    <cfRule type="duplicateValues" dxfId="151" priority="62"/>
    <cfRule type="duplicateValues" dxfId="150" priority="63"/>
  </conditionalFormatting>
  <conditionalFormatting sqref="D705">
    <cfRule type="duplicateValues" dxfId="149" priority="30"/>
  </conditionalFormatting>
  <conditionalFormatting sqref="D705:D706">
    <cfRule type="duplicateValues" dxfId="148" priority="29"/>
  </conditionalFormatting>
  <conditionalFormatting sqref="D706">
    <cfRule type="duplicateValues" dxfId="147" priority="22"/>
  </conditionalFormatting>
  <conditionalFormatting sqref="E359">
    <cfRule type="duplicateValues" dxfId="146" priority="1902"/>
  </conditionalFormatting>
  <conditionalFormatting sqref="E360">
    <cfRule type="duplicateValues" dxfId="145" priority="1901"/>
  </conditionalFormatting>
  <conditionalFormatting sqref="E378:E379">
    <cfRule type="duplicateValues" dxfId="144" priority="1887"/>
  </conditionalFormatting>
  <conditionalFormatting sqref="E385:E387">
    <cfRule type="duplicateValues" dxfId="143" priority="1876"/>
  </conditionalFormatting>
  <conditionalFormatting sqref="E396">
    <cfRule type="duplicateValues" dxfId="142" priority="1864"/>
  </conditionalFormatting>
  <conditionalFormatting sqref="E401">
    <cfRule type="duplicateValues" dxfId="141" priority="1851"/>
  </conditionalFormatting>
  <conditionalFormatting sqref="E405">
    <cfRule type="duplicateValues" dxfId="140" priority="1838"/>
  </conditionalFormatting>
  <conditionalFormatting sqref="E408:E410">
    <cfRule type="duplicateValues" dxfId="139" priority="1825"/>
  </conditionalFormatting>
  <conditionalFormatting sqref="E416:E417">
    <cfRule type="duplicateValues" dxfId="138" priority="1791"/>
  </conditionalFormatting>
  <conditionalFormatting sqref="E418">
    <cfRule type="duplicateValues" dxfId="137" priority="1792"/>
  </conditionalFormatting>
  <conditionalFormatting sqref="E421:E422">
    <cfRule type="duplicateValues" dxfId="136" priority="1781"/>
  </conditionalFormatting>
  <conditionalFormatting sqref="E423">
    <cfRule type="duplicateValues" dxfId="135" priority="1774"/>
  </conditionalFormatting>
  <conditionalFormatting sqref="E424">
    <cfRule type="duplicateValues" dxfId="134" priority="1763"/>
  </conditionalFormatting>
  <conditionalFormatting sqref="E425">
    <cfRule type="duplicateValues" dxfId="133" priority="1758"/>
  </conditionalFormatting>
  <conditionalFormatting sqref="E427:E428">
    <cfRule type="duplicateValues" dxfId="132" priority="1741"/>
  </conditionalFormatting>
  <conditionalFormatting sqref="E429:E430">
    <cfRule type="duplicateValues" dxfId="131" priority="1730"/>
  </conditionalFormatting>
  <conditionalFormatting sqref="E432:E433">
    <cfRule type="duplicateValues" dxfId="130" priority="1699"/>
  </conditionalFormatting>
  <conditionalFormatting sqref="E435">
    <cfRule type="duplicateValues" dxfId="129" priority="1670"/>
  </conditionalFormatting>
  <conditionalFormatting sqref="E436:E438">
    <cfRule type="duplicateValues" dxfId="128" priority="1669"/>
  </conditionalFormatting>
  <conditionalFormatting sqref="E440">
    <cfRule type="duplicateValues" dxfId="127" priority="1620"/>
  </conditionalFormatting>
  <conditionalFormatting sqref="E441">
    <cfRule type="duplicateValues" dxfId="126" priority="1619"/>
  </conditionalFormatting>
  <conditionalFormatting sqref="E443:E444">
    <cfRule type="duplicateValues" dxfId="125" priority="1604"/>
  </conditionalFormatting>
  <conditionalFormatting sqref="E448:E449">
    <cfRule type="duplicateValues" dxfId="124" priority="1561"/>
  </conditionalFormatting>
  <conditionalFormatting sqref="E451">
    <cfRule type="duplicateValues" dxfId="123" priority="1546"/>
  </conditionalFormatting>
  <conditionalFormatting sqref="E456">
    <cfRule type="duplicateValues" dxfId="122" priority="1509"/>
  </conditionalFormatting>
  <conditionalFormatting sqref="E457">
    <cfRule type="duplicateValues" dxfId="121" priority="1497"/>
  </conditionalFormatting>
  <conditionalFormatting sqref="E459">
    <cfRule type="duplicateValues" dxfId="120" priority="1481"/>
  </conditionalFormatting>
  <conditionalFormatting sqref="E462:E466">
    <cfRule type="duplicateValues" dxfId="119" priority="1450"/>
  </conditionalFormatting>
  <conditionalFormatting sqref="E467">
    <cfRule type="duplicateValues" dxfId="118" priority="1418"/>
  </conditionalFormatting>
  <conditionalFormatting sqref="E474">
    <cfRule type="duplicateValues" dxfId="117" priority="1376"/>
  </conditionalFormatting>
  <conditionalFormatting sqref="E475 E469:E473">
    <cfRule type="duplicateValues" dxfId="116" priority="1378"/>
  </conditionalFormatting>
  <conditionalFormatting sqref="E477">
    <cfRule type="duplicateValues" dxfId="115" priority="1356"/>
  </conditionalFormatting>
  <conditionalFormatting sqref="E490 E482">
    <cfRule type="duplicateValues" dxfId="114" priority="1354"/>
  </conditionalFormatting>
  <conditionalFormatting sqref="E491 E483:E489 E478:E481">
    <cfRule type="duplicateValues" dxfId="113" priority="1355"/>
  </conditionalFormatting>
  <conditionalFormatting sqref="E519">
    <cfRule type="duplicateValues" dxfId="112" priority="1333"/>
  </conditionalFormatting>
  <conditionalFormatting sqref="E520 E492:E518">
    <cfRule type="duplicateValues" dxfId="111" priority="1336"/>
  </conditionalFormatting>
  <conditionalFormatting sqref="E521">
    <cfRule type="duplicateValues" dxfId="110" priority="1321"/>
  </conditionalFormatting>
  <conditionalFormatting sqref="E525:E531">
    <cfRule type="duplicateValues" dxfId="109" priority="1281"/>
  </conditionalFormatting>
  <conditionalFormatting sqref="E532">
    <cfRule type="duplicateValues" dxfId="108" priority="1280"/>
  </conditionalFormatting>
  <conditionalFormatting sqref="E533">
    <cfRule type="duplicateValues" dxfId="107" priority="1251"/>
  </conditionalFormatting>
  <conditionalFormatting sqref="E534:E537">
    <cfRule type="duplicateValues" dxfId="106" priority="1248"/>
  </conditionalFormatting>
  <conditionalFormatting sqref="E538">
    <cfRule type="duplicateValues" dxfId="105" priority="1247"/>
  </conditionalFormatting>
  <conditionalFormatting sqref="E541:E544">
    <cfRule type="duplicateValues" dxfId="104" priority="1216"/>
  </conditionalFormatting>
  <conditionalFormatting sqref="E545">
    <cfRule type="duplicateValues" dxfId="103" priority="1215"/>
  </conditionalFormatting>
  <conditionalFormatting sqref="E546:E548">
    <cfRule type="duplicateValues" dxfId="102" priority="1186"/>
  </conditionalFormatting>
  <conditionalFormatting sqref="E551">
    <cfRule type="duplicateValues" dxfId="101" priority="1161"/>
  </conditionalFormatting>
  <conditionalFormatting sqref="E552:E555">
    <cfRule type="duplicateValues" dxfId="100" priority="1160"/>
  </conditionalFormatting>
  <conditionalFormatting sqref="E556:E560">
    <cfRule type="duplicateValues" dxfId="99" priority="1159"/>
  </conditionalFormatting>
  <conditionalFormatting sqref="E561:E562">
    <cfRule type="duplicateValues" dxfId="98" priority="1130"/>
  </conditionalFormatting>
  <conditionalFormatting sqref="E563">
    <cfRule type="duplicateValues" dxfId="97" priority="1127"/>
  </conditionalFormatting>
  <conditionalFormatting sqref="E564">
    <cfRule type="duplicateValues" dxfId="96" priority="1098"/>
  </conditionalFormatting>
  <conditionalFormatting sqref="E565:E566">
    <cfRule type="duplicateValues" dxfId="95" priority="1095"/>
  </conditionalFormatting>
  <conditionalFormatting sqref="E567">
    <cfRule type="duplicateValues" dxfId="94" priority="1094"/>
  </conditionalFormatting>
  <conditionalFormatting sqref="E568:E571">
    <cfRule type="duplicateValues" dxfId="93" priority="1065"/>
  </conditionalFormatting>
  <conditionalFormatting sqref="E572">
    <cfRule type="duplicateValues" dxfId="92" priority="1062"/>
  </conditionalFormatting>
  <conditionalFormatting sqref="E573:E574">
    <cfRule type="duplicateValues" dxfId="91" priority="1033"/>
  </conditionalFormatting>
  <conditionalFormatting sqref="E575:E576">
    <cfRule type="duplicateValues" dxfId="90" priority="1030"/>
  </conditionalFormatting>
  <conditionalFormatting sqref="E577">
    <cfRule type="duplicateValues" dxfId="89" priority="1012"/>
  </conditionalFormatting>
  <conditionalFormatting sqref="E578">
    <cfRule type="duplicateValues" dxfId="88" priority="998"/>
  </conditionalFormatting>
  <conditionalFormatting sqref="E579">
    <cfRule type="duplicateValues" dxfId="87" priority="978"/>
  </conditionalFormatting>
  <conditionalFormatting sqref="E580">
    <cfRule type="duplicateValues" dxfId="86" priority="958"/>
  </conditionalFormatting>
  <conditionalFormatting sqref="E583">
    <cfRule type="duplicateValues" dxfId="85" priority="899"/>
  </conditionalFormatting>
  <conditionalFormatting sqref="E584">
    <cfRule type="duplicateValues" dxfId="84" priority="896"/>
  </conditionalFormatting>
  <conditionalFormatting sqref="E585 E587">
    <cfRule type="duplicateValues" dxfId="83" priority="874"/>
  </conditionalFormatting>
  <conditionalFormatting sqref="E586">
    <cfRule type="duplicateValues" dxfId="82" priority="875"/>
  </conditionalFormatting>
  <conditionalFormatting sqref="E588">
    <cfRule type="duplicateValues" dxfId="81" priority="851"/>
  </conditionalFormatting>
  <conditionalFormatting sqref="E589:E593">
    <cfRule type="duplicateValues" dxfId="80" priority="848"/>
  </conditionalFormatting>
  <conditionalFormatting sqref="E594:E601">
    <cfRule type="duplicateValues" dxfId="79" priority="814"/>
  </conditionalFormatting>
  <conditionalFormatting sqref="E595">
    <cfRule type="duplicateValues" dxfId="78" priority="812"/>
  </conditionalFormatting>
  <conditionalFormatting sqref="E596 E594">
    <cfRule type="duplicateValues" dxfId="77" priority="816"/>
  </conditionalFormatting>
  <conditionalFormatting sqref="E597">
    <cfRule type="duplicateValues" dxfId="76" priority="797"/>
  </conditionalFormatting>
  <conditionalFormatting sqref="E598:E600">
    <cfRule type="duplicateValues" dxfId="75" priority="795"/>
  </conditionalFormatting>
  <conditionalFormatting sqref="E601">
    <cfRule type="duplicateValues" dxfId="74" priority="794"/>
  </conditionalFormatting>
  <conditionalFormatting sqref="E602">
    <cfRule type="duplicateValues" dxfId="73" priority="772"/>
  </conditionalFormatting>
  <conditionalFormatting sqref="E602:E607">
    <cfRule type="duplicateValues" dxfId="72" priority="769"/>
  </conditionalFormatting>
  <conditionalFormatting sqref="E603:E607">
    <cfRule type="duplicateValues" dxfId="71" priority="755"/>
  </conditionalFormatting>
  <conditionalFormatting sqref="E608">
    <cfRule type="duplicateValues" dxfId="70" priority="744"/>
  </conditionalFormatting>
  <conditionalFormatting sqref="E608:E612">
    <cfRule type="duplicateValues" dxfId="69" priority="730"/>
  </conditionalFormatting>
  <conditionalFormatting sqref="E609">
    <cfRule type="duplicateValues" dxfId="68" priority="717"/>
  </conditionalFormatting>
  <conditionalFormatting sqref="E610:E612">
    <cfRule type="duplicateValues" dxfId="67" priority="716"/>
  </conditionalFormatting>
  <conditionalFormatting sqref="E613:E620">
    <cfRule type="duplicateValues" dxfId="66" priority="690"/>
    <cfRule type="duplicateValues" dxfId="65" priority="693"/>
  </conditionalFormatting>
  <conditionalFormatting sqref="E621">
    <cfRule type="duplicateValues" dxfId="64" priority="641"/>
  </conditionalFormatting>
  <conditionalFormatting sqref="E621:E625">
    <cfRule type="duplicateValues" dxfId="63" priority="638"/>
  </conditionalFormatting>
  <conditionalFormatting sqref="E622:E625">
    <cfRule type="duplicateValues" dxfId="62" priority="635"/>
  </conditionalFormatting>
  <conditionalFormatting sqref="E626">
    <cfRule type="duplicateValues" dxfId="61" priority="613"/>
  </conditionalFormatting>
  <conditionalFormatting sqref="E626:E637">
    <cfRule type="duplicateValues" dxfId="60" priority="610"/>
  </conditionalFormatting>
  <conditionalFormatting sqref="E627:E637">
    <cfRule type="duplicateValues" dxfId="59" priority="597"/>
  </conditionalFormatting>
  <conditionalFormatting sqref="E638">
    <cfRule type="duplicateValues" dxfId="58" priority="573"/>
  </conditionalFormatting>
  <conditionalFormatting sqref="E638:E644">
    <cfRule type="duplicateValues" dxfId="57" priority="571"/>
  </conditionalFormatting>
  <conditionalFormatting sqref="E639:E644">
    <cfRule type="duplicateValues" dxfId="56" priority="569"/>
  </conditionalFormatting>
  <conditionalFormatting sqref="E645">
    <cfRule type="duplicateValues" dxfId="55" priority="544"/>
    <cfRule type="duplicateValues" dxfId="54" priority="546"/>
  </conditionalFormatting>
  <conditionalFormatting sqref="E646">
    <cfRule type="duplicateValues" dxfId="53" priority="532"/>
  </conditionalFormatting>
  <conditionalFormatting sqref="E646:E649">
    <cfRule type="duplicateValues" dxfId="52" priority="518"/>
  </conditionalFormatting>
  <conditionalFormatting sqref="E647:E649">
    <cfRule type="duplicateValues" dxfId="51" priority="503"/>
  </conditionalFormatting>
  <conditionalFormatting sqref="E650">
    <cfRule type="duplicateValues" dxfId="50" priority="481"/>
  </conditionalFormatting>
  <conditionalFormatting sqref="E650:E655">
    <cfRule type="duplicateValues" dxfId="49" priority="478"/>
  </conditionalFormatting>
  <conditionalFormatting sqref="E651:E655">
    <cfRule type="duplicateValues" dxfId="48" priority="476"/>
  </conditionalFormatting>
  <conditionalFormatting sqref="E656:E658">
    <cfRule type="duplicateValues" dxfId="47" priority="439"/>
    <cfRule type="duplicateValues" dxfId="46" priority="453"/>
  </conditionalFormatting>
  <conditionalFormatting sqref="E659">
    <cfRule type="duplicateValues" dxfId="45" priority="416"/>
  </conditionalFormatting>
  <conditionalFormatting sqref="E659:E664">
    <cfRule type="duplicateValues" dxfId="44" priority="413"/>
  </conditionalFormatting>
  <conditionalFormatting sqref="E660:E664">
    <cfRule type="duplicateValues" dxfId="43" priority="411"/>
  </conditionalFormatting>
  <conditionalFormatting sqref="E665">
    <cfRule type="duplicateValues" dxfId="42" priority="362"/>
  </conditionalFormatting>
  <conditionalFormatting sqref="E665:E667">
    <cfRule type="duplicateValues" dxfId="41" priority="359"/>
  </conditionalFormatting>
  <conditionalFormatting sqref="E666:E667">
    <cfRule type="duplicateValues" dxfId="40" priority="356"/>
  </conditionalFormatting>
  <conditionalFormatting sqref="E669:E671">
    <cfRule type="duplicateValues" dxfId="39" priority="317"/>
    <cfRule type="duplicateValues" dxfId="38" priority="331"/>
  </conditionalFormatting>
  <conditionalFormatting sqref="E674">
    <cfRule type="duplicateValues" dxfId="37" priority="302"/>
  </conditionalFormatting>
  <conditionalFormatting sqref="E674:E675">
    <cfRule type="duplicateValues" dxfId="36" priority="288"/>
  </conditionalFormatting>
  <conditionalFormatting sqref="E675">
    <cfRule type="duplicateValues" dxfId="35" priority="285"/>
  </conditionalFormatting>
  <conditionalFormatting sqref="E677:E679">
    <cfRule type="duplicateValues" dxfId="34" priority="246"/>
    <cfRule type="duplicateValues" dxfId="33" priority="260"/>
  </conditionalFormatting>
  <conditionalFormatting sqref="E682">
    <cfRule type="duplicateValues" dxfId="32" priority="216"/>
    <cfRule type="duplicateValues" dxfId="31" priority="240"/>
  </conditionalFormatting>
  <conditionalFormatting sqref="E683">
    <cfRule type="duplicateValues" dxfId="30" priority="192"/>
  </conditionalFormatting>
  <conditionalFormatting sqref="E683:E684">
    <cfRule type="duplicateValues" dxfId="29" priority="189"/>
  </conditionalFormatting>
  <conditionalFormatting sqref="E684">
    <cfRule type="duplicateValues" dxfId="28" priority="186"/>
  </conditionalFormatting>
  <conditionalFormatting sqref="E685">
    <cfRule type="duplicateValues" dxfId="27" priority="149"/>
    <cfRule type="duplicateValues" dxfId="26" priority="152"/>
  </conditionalFormatting>
  <conditionalFormatting sqref="E688:E689">
    <cfRule type="duplicateValues" dxfId="25" priority="135"/>
  </conditionalFormatting>
  <conditionalFormatting sqref="E688:E690">
    <cfRule type="duplicateValues" dxfId="24" priority="121"/>
  </conditionalFormatting>
  <conditionalFormatting sqref="E690">
    <cfRule type="duplicateValues" dxfId="23" priority="104"/>
  </conditionalFormatting>
  <conditionalFormatting sqref="E695">
    <cfRule type="duplicateValues" dxfId="22" priority="61"/>
    <cfRule type="duplicateValues" dxfId="21" priority="64"/>
  </conditionalFormatting>
  <conditionalFormatting sqref="E705">
    <cfRule type="duplicateValues" dxfId="20" priority="31"/>
  </conditionalFormatting>
  <conditionalFormatting sqref="E705:E706">
    <cfRule type="duplicateValues" dxfId="19" priority="28"/>
  </conditionalFormatting>
  <conditionalFormatting sqref="E706">
    <cfRule type="duplicateValues" dxfId="18" priority="23"/>
  </conditionalFormatting>
  <conditionalFormatting sqref="F107:F110">
    <cfRule type="duplicateValues" dxfId="17" priority="2729"/>
  </conditionalFormatting>
  <conditionalFormatting sqref="C1">
    <cfRule type="duplicateValues" dxfId="16" priority="23229"/>
    <cfRule type="duplicateValues" dxfId="15" priority="23230"/>
  </conditionalFormatting>
  <conditionalFormatting sqref="C1:C10">
    <cfRule type="duplicateValues" dxfId="14" priority="23231"/>
  </conditionalFormatting>
  <conditionalFormatting sqref="C1:C106">
    <cfRule type="duplicateValues" dxfId="13" priority="23232"/>
  </conditionalFormatting>
  <conditionalFormatting sqref="C1:C294">
    <cfRule type="duplicateValues" dxfId="12" priority="23233"/>
  </conditionalFormatting>
  <conditionalFormatting sqref="C1:C430">
    <cfRule type="duplicateValues" dxfId="11" priority="23234"/>
  </conditionalFormatting>
  <conditionalFormatting sqref="C1:C438">
    <cfRule type="duplicateValues" dxfId="10" priority="23235"/>
    <cfRule type="duplicateValues" dxfId="9" priority="23236"/>
  </conditionalFormatting>
  <conditionalFormatting sqref="C1:C466">
    <cfRule type="duplicateValues" dxfId="8" priority="23237"/>
    <cfRule type="duplicateValues" dxfId="7" priority="23238"/>
  </conditionalFormatting>
  <conditionalFormatting sqref="C1:C582">
    <cfRule type="duplicateValues" dxfId="6" priority="23239"/>
  </conditionalFormatting>
  <conditionalFormatting sqref="C1:C593">
    <cfRule type="duplicateValues" dxfId="5" priority="23240"/>
  </conditionalFormatting>
  <conditionalFormatting sqref="C1:C664">
    <cfRule type="duplicateValues" dxfId="4" priority="23241"/>
    <cfRule type="duplicateValues" dxfId="3" priority="23242"/>
    <cfRule type="duplicateValues" dxfId="2" priority="23243"/>
  </conditionalFormatting>
  <conditionalFormatting sqref="C1:C691">
    <cfRule type="duplicateValues" dxfId="1" priority="23245"/>
    <cfRule type="duplicateValues" dxfId="0" priority="23246"/>
  </conditionalFormatting>
  <dataValidations count="1">
    <dataValidation type="list" allowBlank="1" showInputMessage="1" showErrorMessage="1" sqref="H3:H23 I147:I148 H27:H437 H577:H582" xr:uid="{7D614F2E-B4BE-4392-AC75-80E5BB1663A6}">
      <formula1>#REF!</formula1>
    </dataValidation>
  </dataValidations>
  <pageMargins left="0.7" right="0.7" top="0.75" bottom="0.75" header="0.3" footer="0.3"/>
  <pageSetup paperSize="9" scale="99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Cheque Ready</vt:lpstr>
      <vt:lpstr>Cheque Paid</vt:lpstr>
      <vt:lpstr>'Cheque Ready'!Print_Area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sumon (acconts)</dc:creator>
  <cp:lastModifiedBy>Kazi Al Fahad Hriday</cp:lastModifiedBy>
  <cp:lastPrinted>2026-06-25T04:06:09Z</cp:lastPrinted>
  <dcterms:created xsi:type="dcterms:W3CDTF">2015-07-28T03:55:24Z</dcterms:created>
  <dcterms:modified xsi:type="dcterms:W3CDTF">2026-09-10T06:42:45Z</dcterms:modified>
</cp:coreProperties>
</file>